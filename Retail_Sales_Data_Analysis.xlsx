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AA6B1326-6CEC-44D3-87DD-22F33222DAF4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Project Guide" sheetId="1" r:id="rId1"/>
    <sheet name="Sheet4" sheetId="7" r:id="rId2"/>
    <sheet name="Dashboard &amp; insights" sheetId="4" r:id="rId3"/>
    <sheet name="Sheet2" sheetId="5" r:id="rId4"/>
    <sheet name="Sheet3" sheetId="6" r:id="rId5"/>
    <sheet name="Sheet5" sheetId="8" r:id="rId6"/>
    <sheet name="Sheet6" sheetId="9" r:id="rId7"/>
    <sheet name="Sales Data" sheetId="2" r:id="rId8"/>
    <sheet name="Data Dictionary" sheetId="3" r:id="rId9"/>
  </sheets>
  <definedNames>
    <definedName name="_xlnm._FilterDatabase" localSheetId="8" hidden="1">'Data Dictionary'!$A$1:$B$20</definedName>
    <definedName name="_xlnm._FilterDatabase" localSheetId="0" hidden="1">'Project Guide'!$A$1:$B$8</definedName>
    <definedName name="_xlnm._FilterDatabase" localSheetId="7" hidden="1">'Sales Data'!$A$1:$V$501</definedName>
  </definedName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E4" i="4" s="1"/>
  <c r="A4" i="4"/>
  <c r="V502" i="2"/>
  <c r="R502" i="2"/>
  <c r="Q502" i="2"/>
  <c r="X4" i="2"/>
  <c r="X3" i="2"/>
  <c r="X2" i="2"/>
</calcChain>
</file>

<file path=xl/sharedStrings.xml><?xml version="1.0" encoding="utf-8"?>
<sst xmlns="http://schemas.openxmlformats.org/spreadsheetml/2006/main" count="6141" uniqueCount="1141">
  <si>
    <t>Item</t>
  </si>
  <si>
    <t>Details</t>
  </si>
  <si>
    <t>Portfolio Project</t>
  </si>
  <si>
    <t>Retail Sales &amp; Customer Performance Analysis</t>
  </si>
  <si>
    <t>Purpose</t>
  </si>
  <si>
    <t>Analyze sales, profitability, customers, products, regions and order performance using Excel and Power BI.</t>
  </si>
  <si>
    <t>Dataset Size</t>
  </si>
  <si>
    <t>500 transactions</t>
  </si>
  <si>
    <t>Period</t>
  </si>
  <si>
    <t>January–December 2025</t>
  </si>
  <si>
    <t>Currency</t>
  </si>
  <si>
    <t>Nigerian Naira (NGN)</t>
  </si>
  <si>
    <t>Recommended Tools</t>
  </si>
  <si>
    <t>Microsoft Excel + Power BI</t>
  </si>
  <si>
    <t>Suggested Analysis</t>
  </si>
  <si>
    <t>Sales &amp; profit by month, product, category, region, customer type, payment and shipping method.</t>
  </si>
  <si>
    <t>Order ID</t>
  </si>
  <si>
    <t>Order Date</t>
  </si>
  <si>
    <t>Customer ID</t>
  </si>
  <si>
    <t>Customer Name</t>
  </si>
  <si>
    <t>Customer Type</t>
  </si>
  <si>
    <t>City</t>
  </si>
  <si>
    <t>State</t>
  </si>
  <si>
    <t>Region</t>
  </si>
  <si>
    <t>Product</t>
  </si>
  <si>
    <t>Category</t>
  </si>
  <si>
    <t>Quantity</t>
  </si>
  <si>
    <t>Unit Price (NGN)</t>
  </si>
  <si>
    <t>Cost (NGN)</t>
  </si>
  <si>
    <t>Gross Sales (NGN)</t>
  </si>
  <si>
    <t>Discount Rate</t>
  </si>
  <si>
    <t>Discount Amount (NGN)</t>
  </si>
  <si>
    <t>Net Sales (NGN)</t>
  </si>
  <si>
    <t>Profit (NGN)</t>
  </si>
  <si>
    <t>Payment Method</t>
  </si>
  <si>
    <t>Shipping Method</t>
  </si>
  <si>
    <t>Order Status</t>
  </si>
  <si>
    <t>Profit Margin</t>
  </si>
  <si>
    <t>ORD00059</t>
  </si>
  <si>
    <t>CUST1090</t>
  </si>
  <si>
    <t>Oluwaseun Ibrahim</t>
  </si>
  <si>
    <t>Returning</t>
  </si>
  <si>
    <t>Abuja</t>
  </si>
  <si>
    <t>FCT</t>
  </si>
  <si>
    <t>North Central</t>
  </si>
  <si>
    <t>Smartphone</t>
  </si>
  <si>
    <t>Electronics</t>
  </si>
  <si>
    <t>Card</t>
  </si>
  <si>
    <t>Standard</t>
  </si>
  <si>
    <t>Delivered</t>
  </si>
  <si>
    <t>ORD00306</t>
  </si>
  <si>
    <t>CUST1246</t>
  </si>
  <si>
    <t>Sarah Nwosu</t>
  </si>
  <si>
    <t>Ilorin</t>
  </si>
  <si>
    <t>Kwara</t>
  </si>
  <si>
    <t>Keyboard</t>
  </si>
  <si>
    <t>Accessories</t>
  </si>
  <si>
    <t>USSD</t>
  </si>
  <si>
    <t>ORD00322</t>
  </si>
  <si>
    <t>CUST1197</t>
  </si>
  <si>
    <t>Samuel Adebayo</t>
  </si>
  <si>
    <t>New</t>
  </si>
  <si>
    <t>Port Harcourt</t>
  </si>
  <si>
    <t>Rivers</t>
  </si>
  <si>
    <t>South South</t>
  </si>
  <si>
    <t>Printer</t>
  </si>
  <si>
    <t>Office Equipment</t>
  </si>
  <si>
    <t>Bank Transfer</t>
  </si>
  <si>
    <t>Pending</t>
  </si>
  <si>
    <t>ORD00037</t>
  </si>
  <si>
    <t>CUST1174</t>
  </si>
  <si>
    <t>Ngozi Williams</t>
  </si>
  <si>
    <t>Ikeja</t>
  </si>
  <si>
    <t>Lagos</t>
  </si>
  <si>
    <t>South West</t>
  </si>
  <si>
    <t>Wireless Earbuds</t>
  </si>
  <si>
    <t>Cash</t>
  </si>
  <si>
    <t>Express</t>
  </si>
  <si>
    <t>ORD00274</t>
  </si>
  <si>
    <t>CUST1058</t>
  </si>
  <si>
    <t>Samuel Johnson</t>
  </si>
  <si>
    <t>Warri</t>
  </si>
  <si>
    <t>Delta</t>
  </si>
  <si>
    <t>Power Bank</t>
  </si>
  <si>
    <t>ORD00387</t>
  </si>
  <si>
    <t>CUST1155</t>
  </si>
  <si>
    <t>Kemi Adebayo</t>
  </si>
  <si>
    <t>ORD00442</t>
  </si>
  <si>
    <t>CUST1249</t>
  </si>
  <si>
    <t>Michael Okoro</t>
  </si>
  <si>
    <t>Office Chair</t>
  </si>
  <si>
    <t>Furniture</t>
  </si>
  <si>
    <t>ORD00236</t>
  </si>
  <si>
    <t>CUST1222</t>
  </si>
  <si>
    <t>Esther Balogun</t>
  </si>
  <si>
    <t>ORD00423</t>
  </si>
  <si>
    <t>CUST1250</t>
  </si>
  <si>
    <t>Mary Okoro</t>
  </si>
  <si>
    <t>Enugu</t>
  </si>
  <si>
    <t>South East</t>
  </si>
  <si>
    <t>ORD00093</t>
  </si>
  <si>
    <t>CUST1099</t>
  </si>
  <si>
    <t>Yemi Nwosu</t>
  </si>
  <si>
    <t>Laptop</t>
  </si>
  <si>
    <t>ORD00495</t>
  </si>
  <si>
    <t>CUST1079</t>
  </si>
  <si>
    <t>Yemi Adebayo</t>
  </si>
  <si>
    <t>Pickup</t>
  </si>
  <si>
    <t>ORD00077</t>
  </si>
  <si>
    <t>CUST1234</t>
  </si>
  <si>
    <t>Chinedu Okafor</t>
  </si>
  <si>
    <t>Ibadan</t>
  </si>
  <si>
    <t>Oyo</t>
  </si>
  <si>
    <t>Monitor</t>
  </si>
  <si>
    <t>ORD00084</t>
  </si>
  <si>
    <t>CUST1019</t>
  </si>
  <si>
    <t>Favour Musa</t>
  </si>
  <si>
    <t>ORD00111</t>
  </si>
  <si>
    <t>CUST1087</t>
  </si>
  <si>
    <t>Michael Yusuf</t>
  </si>
  <si>
    <t>Bluetooth Speaker</t>
  </si>
  <si>
    <t>POS</t>
  </si>
  <si>
    <t>ORD00143</t>
  </si>
  <si>
    <t>CUST1032</t>
  </si>
  <si>
    <t>Ngozi Afolabi</t>
  </si>
  <si>
    <t>Benin City</t>
  </si>
  <si>
    <t>Edo</t>
  </si>
  <si>
    <t>Cancelled</t>
  </si>
  <si>
    <t>ORD00178</t>
  </si>
  <si>
    <t>CUST1139</t>
  </si>
  <si>
    <t>Oluwaseun Ojo</t>
  </si>
  <si>
    <t>Bookshelf</t>
  </si>
  <si>
    <t>ORD00253</t>
  </si>
  <si>
    <t>CUST1126</t>
  </si>
  <si>
    <t>Mary Bello</t>
  </si>
  <si>
    <t>ORD00362</t>
  </si>
  <si>
    <t>CUST1118</t>
  </si>
  <si>
    <t>Ibrahim Ogunleye</t>
  </si>
  <si>
    <t>ORD00482</t>
  </si>
  <si>
    <t>Favour Nwosu</t>
  </si>
  <si>
    <t>Tablet</t>
  </si>
  <si>
    <t>ORD00060</t>
  </si>
  <si>
    <t>CUST1168</t>
  </si>
  <si>
    <t>Chinedu Garba</t>
  </si>
  <si>
    <t>ORD00223</t>
  </si>
  <si>
    <t>CUST1210</t>
  </si>
  <si>
    <t>Favour Yusuf</t>
  </si>
  <si>
    <t>ORD00041</t>
  </si>
  <si>
    <t>CUST1143</t>
  </si>
  <si>
    <t>Amina Okafor</t>
  </si>
  <si>
    <t>ORD00141</t>
  </si>
  <si>
    <t>CUST1073</t>
  </si>
  <si>
    <t>Peter Okafor</t>
  </si>
  <si>
    <t>ORD00054</t>
  </si>
  <si>
    <t>CUST1192</t>
  </si>
  <si>
    <t>Favour Eze</t>
  </si>
  <si>
    <t>Office Desk</t>
  </si>
  <si>
    <t>ORD00228</t>
  </si>
  <si>
    <t>CUST1208</t>
  </si>
  <si>
    <t>ORD00367</t>
  </si>
  <si>
    <t>CUST1077</t>
  </si>
  <si>
    <t>Daniel Ojo</t>
  </si>
  <si>
    <t>ORD00151</t>
  </si>
  <si>
    <t>CUST1133</t>
  </si>
  <si>
    <t>Yemi Williams</t>
  </si>
  <si>
    <t>ORD00239</t>
  </si>
  <si>
    <t>CUST1018</t>
  </si>
  <si>
    <t>Ngozi Garba</t>
  </si>
  <si>
    <t>Abeokuta</t>
  </si>
  <si>
    <t>Ogun</t>
  </si>
  <si>
    <t>ORD00003</t>
  </si>
  <si>
    <t>Ibrahim Udo</t>
  </si>
  <si>
    <t>ORD00103</t>
  </si>
  <si>
    <t>CUST1047</t>
  </si>
  <si>
    <t>Precious Bello</t>
  </si>
  <si>
    <t>ORD00113</t>
  </si>
  <si>
    <t>CUST1148</t>
  </si>
  <si>
    <t>Favour Okoro</t>
  </si>
  <si>
    <t>ORD00243</t>
  </si>
  <si>
    <t>CUST1024</t>
  </si>
  <si>
    <t>Kemi Okoro</t>
  </si>
  <si>
    <t>ORD00457</t>
  </si>
  <si>
    <t>CUST1230</t>
  </si>
  <si>
    <t>Esther Okafor</t>
  </si>
  <si>
    <t>ORD00476</t>
  </si>
  <si>
    <t>CUST1202</t>
  </si>
  <si>
    <t>Daniel Okoro</t>
  </si>
  <si>
    <t>ORD00213</t>
  </si>
  <si>
    <t>CUST1037</t>
  </si>
  <si>
    <t>Amina Balogun</t>
  </si>
  <si>
    <t>ORD00356</t>
  </si>
  <si>
    <t>CUST1153</t>
  </si>
  <si>
    <t>Tunde Adeyemi</t>
  </si>
  <si>
    <t>ORD00216</t>
  </si>
  <si>
    <t>Ibrahim Johnson</t>
  </si>
  <si>
    <t>Kano</t>
  </si>
  <si>
    <t>North West</t>
  </si>
  <si>
    <t>ORD00079</t>
  </si>
  <si>
    <t>CUST1109</t>
  </si>
  <si>
    <t>Chinedu Bello</t>
  </si>
  <si>
    <t>Onitsha</t>
  </si>
  <si>
    <t>Anambra</t>
  </si>
  <si>
    <t>ORD00483</t>
  </si>
  <si>
    <t>CUST1125</t>
  </si>
  <si>
    <t>Sarah Afolabi</t>
  </si>
  <si>
    <t>ORD00158</t>
  </si>
  <si>
    <t>CUST1039</t>
  </si>
  <si>
    <t>Michael Balogun</t>
  </si>
  <si>
    <t>ORD00471</t>
  </si>
  <si>
    <t>CUST1242</t>
  </si>
  <si>
    <t>Precious Ogunleye</t>
  </si>
  <si>
    <t>ORD00300</t>
  </si>
  <si>
    <t>CUST1137</t>
  </si>
  <si>
    <t>Janet Garba</t>
  </si>
  <si>
    <t>ORD00380</t>
  </si>
  <si>
    <t>CUST1089</t>
  </si>
  <si>
    <t>Ngozi Ibrahim</t>
  </si>
  <si>
    <t>ORD00004</t>
  </si>
  <si>
    <t>CUST1206</t>
  </si>
  <si>
    <t>Samuel Okoro</t>
  </si>
  <si>
    <t>ORD00008</t>
  </si>
  <si>
    <t>CUST1193</t>
  </si>
  <si>
    <t>Daniel Bello</t>
  </si>
  <si>
    <t>ORD00204</t>
  </si>
  <si>
    <t>Grace Okoro</t>
  </si>
  <si>
    <t>ORD00366</t>
  </si>
  <si>
    <t>CUST1006</t>
  </si>
  <si>
    <t>ORD00263</t>
  </si>
  <si>
    <t>CUST1127</t>
  </si>
  <si>
    <t>Tunde Okoro</t>
  </si>
  <si>
    <t>ORD00311</t>
  </si>
  <si>
    <t>CUST1119</t>
  </si>
  <si>
    <t>Favour Lawal</t>
  </si>
  <si>
    <t>ORD00452</t>
  </si>
  <si>
    <t>CUST1187</t>
  </si>
  <si>
    <t>John Ogunleye</t>
  </si>
  <si>
    <t>ORD00246</t>
  </si>
  <si>
    <t>CUST1016</t>
  </si>
  <si>
    <t>Janet Nwosu</t>
  </si>
  <si>
    <t>ORD00006</t>
  </si>
  <si>
    <t>CUST1157</t>
  </si>
  <si>
    <t>Peter Yusuf</t>
  </si>
  <si>
    <t>ORD00240</t>
  </si>
  <si>
    <t>CUST1105</t>
  </si>
  <si>
    <t>Favour Adeyemi</t>
  </si>
  <si>
    <t>ORD00410</t>
  </si>
  <si>
    <t>CUST1173</t>
  </si>
  <si>
    <t>Janet Afolabi</t>
  </si>
  <si>
    <t>ORD00323</t>
  </si>
  <si>
    <t>Peter Lawal</t>
  </si>
  <si>
    <t>ORD00336</t>
  </si>
  <si>
    <t>Chinedu Yusuf</t>
  </si>
  <si>
    <t>ORD00455</t>
  </si>
  <si>
    <t>Tunde Adebayo</t>
  </si>
  <si>
    <t>ORD00260</t>
  </si>
  <si>
    <t>CUST1106</t>
  </si>
  <si>
    <t>Grace Ojo</t>
  </si>
  <si>
    <t>ORD00026</t>
  </si>
  <si>
    <t>ORD00066</t>
  </si>
  <si>
    <t>CUST1068</t>
  </si>
  <si>
    <t>ORD00208</t>
  </si>
  <si>
    <t>CUST1140</t>
  </si>
  <si>
    <t>Mary Johnson</t>
  </si>
  <si>
    <t>ORD00330</t>
  </si>
  <si>
    <t>CUST1116</t>
  </si>
  <si>
    <t>ORD00357</t>
  </si>
  <si>
    <t>CUST1181</t>
  </si>
  <si>
    <t>Yemi Ibrahim</t>
  </si>
  <si>
    <t>ORD00259</t>
  </si>
  <si>
    <t>CUST1149</t>
  </si>
  <si>
    <t>Esther Adebayo</t>
  </si>
  <si>
    <t>ORD00419</t>
  </si>
  <si>
    <t>Grace Garba</t>
  </si>
  <si>
    <t>ORD00166</t>
  </si>
  <si>
    <t>CUST1245</t>
  </si>
  <si>
    <t>Tunde Eze</t>
  </si>
  <si>
    <t>ORD00289</t>
  </si>
  <si>
    <t>Michael Udo</t>
  </si>
  <si>
    <t>ORD00268</t>
  </si>
  <si>
    <t>CUST1088</t>
  </si>
  <si>
    <t>ORD00074</t>
  </si>
  <si>
    <t>CUST1103</t>
  </si>
  <si>
    <t>Daniel Eze</t>
  </si>
  <si>
    <t>ORD00082</t>
  </si>
  <si>
    <t>CUST1111</t>
  </si>
  <si>
    <t>ORD00052</t>
  </si>
  <si>
    <t>CUST1094</t>
  </si>
  <si>
    <t>Mary Ojo</t>
  </si>
  <si>
    <t>ORD00201</t>
  </si>
  <si>
    <t>CUST1065</t>
  </si>
  <si>
    <t>ORD00398</t>
  </si>
  <si>
    <t>CUST1113</t>
  </si>
  <si>
    <t>Ngozi Udo</t>
  </si>
  <si>
    <t>ORD00040</t>
  </si>
  <si>
    <t>CUST1044</t>
  </si>
  <si>
    <t>Ngozi Yusuf</t>
  </si>
  <si>
    <t>ORD00405</t>
  </si>
  <si>
    <t>CUST1198</t>
  </si>
  <si>
    <t>Tunde Udo</t>
  </si>
  <si>
    <t>ORD00278</t>
  </si>
  <si>
    <t>CUST1183</t>
  </si>
  <si>
    <t>Esther Garba</t>
  </si>
  <si>
    <t>ORD00481</t>
  </si>
  <si>
    <t>CUST1097</t>
  </si>
  <si>
    <t>Daniel Johnson</t>
  </si>
  <si>
    <t>ORD00180</t>
  </si>
  <si>
    <t>CUST1172</t>
  </si>
  <si>
    <t>Mary Adebayo</t>
  </si>
  <si>
    <t>ORD00091</t>
  </si>
  <si>
    <t>CUST1229</t>
  </si>
  <si>
    <t>Mary Ibrahim</t>
  </si>
  <si>
    <t>ORD00403</t>
  </si>
  <si>
    <t>CUST1054</t>
  </si>
  <si>
    <t>Janet Ojo</t>
  </si>
  <si>
    <t>ORD00058</t>
  </si>
  <si>
    <t>CUST1185</t>
  </si>
  <si>
    <t>Chinedu Balogun</t>
  </si>
  <si>
    <t>ORD00146</t>
  </si>
  <si>
    <t>CUST1227</t>
  </si>
  <si>
    <t>Ibrahim Afolabi</t>
  </si>
  <si>
    <t>ORD00009</t>
  </si>
  <si>
    <t>CUST1096</t>
  </si>
  <si>
    <t>Ibrahim Nwosu</t>
  </si>
  <si>
    <t>ORD00200</t>
  </si>
  <si>
    <t>CUST1023</t>
  </si>
  <si>
    <t>Janet Obi</t>
  </si>
  <si>
    <t>ORD00487</t>
  </si>
  <si>
    <t>CUST1031</t>
  </si>
  <si>
    <t>ORD00147</t>
  </si>
  <si>
    <t>CUST1013</t>
  </si>
  <si>
    <t>Sarah Yusuf</t>
  </si>
  <si>
    <t>ORD00475</t>
  </si>
  <si>
    <t>Samuel Adeyemi</t>
  </si>
  <si>
    <t>ORD00010</t>
  </si>
  <si>
    <t>CUST1170</t>
  </si>
  <si>
    <t>ORD00417</t>
  </si>
  <si>
    <t>John Balogun</t>
  </si>
  <si>
    <t>ORD00288</t>
  </si>
  <si>
    <t>CUST1061</t>
  </si>
  <si>
    <t>Tunde Obi</t>
  </si>
  <si>
    <t>ORD00461</t>
  </si>
  <si>
    <t>CUST1041</t>
  </si>
  <si>
    <t>ORD00162</t>
  </si>
  <si>
    <t>CUST1004</t>
  </si>
  <si>
    <t>Oluwaseun Okafor</t>
  </si>
  <si>
    <t>ORD00280</t>
  </si>
  <si>
    <t>CUST1092</t>
  </si>
  <si>
    <t>John Ibrahim</t>
  </si>
  <si>
    <t>ORD00407</t>
  </si>
  <si>
    <t>CUST1003</t>
  </si>
  <si>
    <t>Sarah Obi</t>
  </si>
  <si>
    <t>ORD00445</t>
  </si>
  <si>
    <t>CUST1186</t>
  </si>
  <si>
    <t>Precious Afolabi</t>
  </si>
  <si>
    <t>ORD00488</t>
  </si>
  <si>
    <t>Daniel Yusuf</t>
  </si>
  <si>
    <t>ORD00428</t>
  </si>
  <si>
    <t>Michael Eze</t>
  </si>
  <si>
    <t>ORD00083</t>
  </si>
  <si>
    <t>CUST1201</t>
  </si>
  <si>
    <t>ORD00258</t>
  </si>
  <si>
    <t>CUST1225</t>
  </si>
  <si>
    <t>Precious Ibrahim</t>
  </si>
  <si>
    <t>ORD00261</t>
  </si>
  <si>
    <t>Tunde Nwosu</t>
  </si>
  <si>
    <t>ORD00264</t>
  </si>
  <si>
    <t>CUST1134</t>
  </si>
  <si>
    <t>ORD00294</t>
  </si>
  <si>
    <t>CUST1163</t>
  </si>
  <si>
    <t>Tunde Garba</t>
  </si>
  <si>
    <t>ORD00217</t>
  </si>
  <si>
    <t>CUST1010</t>
  </si>
  <si>
    <t>Esther Williams</t>
  </si>
  <si>
    <t>ORD00165</t>
  </si>
  <si>
    <t>John Ojo</t>
  </si>
  <si>
    <t>ORD00290</t>
  </si>
  <si>
    <t>CUST1021</t>
  </si>
  <si>
    <t>Michael Bello</t>
  </si>
  <si>
    <t>ORD00378</t>
  </si>
  <si>
    <t>CUST1142</t>
  </si>
  <si>
    <t>Chinedu Williams</t>
  </si>
  <si>
    <t>ORD00477</t>
  </si>
  <si>
    <t>Chinedu Johnson</t>
  </si>
  <si>
    <t>ORD00129</t>
  </si>
  <si>
    <t>CUST1132</t>
  </si>
  <si>
    <t>ORD00133</t>
  </si>
  <si>
    <t>ORD00285</t>
  </si>
  <si>
    <t>Sarah Adebayo</t>
  </si>
  <si>
    <t>ORD00053</t>
  </si>
  <si>
    <t>CUST1216</t>
  </si>
  <si>
    <t>ORD00233</t>
  </si>
  <si>
    <t>Oluwaseun Yusuf</t>
  </si>
  <si>
    <t>ORD00418</t>
  </si>
  <si>
    <t>ORD00392</t>
  </si>
  <si>
    <t>CUST1070</t>
  </si>
  <si>
    <t>Peter Udo</t>
  </si>
  <si>
    <t>ORD00078</t>
  </si>
  <si>
    <t>Oluwaseun Nwosu</t>
  </si>
  <si>
    <t>ORD00085</t>
  </si>
  <si>
    <t>CUST1215</t>
  </si>
  <si>
    <t>Favour Ojo</t>
  </si>
  <si>
    <t>ORD00116</t>
  </si>
  <si>
    <t>CUST1130</t>
  </si>
  <si>
    <t>Ibrahim Ibrahim</t>
  </si>
  <si>
    <t>ORD00169</t>
  </si>
  <si>
    <t>CUST1082</t>
  </si>
  <si>
    <t>ORD00232</t>
  </si>
  <si>
    <t>CUST1052</t>
  </si>
  <si>
    <t>John Obi</t>
  </si>
  <si>
    <t>ORD00296</t>
  </si>
  <si>
    <t>CUST1131</t>
  </si>
  <si>
    <t>Favour Williams</t>
  </si>
  <si>
    <t>ORD00176</t>
  </si>
  <si>
    <t>CUST1072</t>
  </si>
  <si>
    <t>ORD00287</t>
  </si>
  <si>
    <t>CUST1166</t>
  </si>
  <si>
    <t>Oluwaseun Udo</t>
  </si>
  <si>
    <t>ORD00001</t>
  </si>
  <si>
    <t>CUST1117</t>
  </si>
  <si>
    <t>ORD00343</t>
  </si>
  <si>
    <t>CUST1066</t>
  </si>
  <si>
    <t>Michael Williams</t>
  </si>
  <si>
    <t>ORD00032</t>
  </si>
  <si>
    <t>CUST1008</t>
  </si>
  <si>
    <t>ORD00042</t>
  </si>
  <si>
    <t>CUST1136</t>
  </si>
  <si>
    <t>Sarah Bello</t>
  </si>
  <si>
    <t>ORD00193</t>
  </si>
  <si>
    <t>Samuel Eze</t>
  </si>
  <si>
    <t>ORD00334</t>
  </si>
  <si>
    <t>ORD00051</t>
  </si>
  <si>
    <t>Grace Adeyemi</t>
  </si>
  <si>
    <t>ORD00413</t>
  </si>
  <si>
    <t>CUST1177</t>
  </si>
  <si>
    <t>Sarah Okafor</t>
  </si>
  <si>
    <t>ORD00192</t>
  </si>
  <si>
    <t>Samuel Okafor</t>
  </si>
  <si>
    <t>ORD00411</t>
  </si>
  <si>
    <t>Mary Udo</t>
  </si>
  <si>
    <t>ORD00050</t>
  </si>
  <si>
    <t>CUST1203</t>
  </si>
  <si>
    <t>Precious Williams</t>
  </si>
  <si>
    <t>ORD00030</t>
  </si>
  <si>
    <t>CUST1001</t>
  </si>
  <si>
    <t>ORD00248</t>
  </si>
  <si>
    <t>CUST1167</t>
  </si>
  <si>
    <t>ORD00466</t>
  </si>
  <si>
    <t>CUST1102</t>
  </si>
  <si>
    <t>Mary Adeyemi</t>
  </si>
  <si>
    <t>ORD00308</t>
  </si>
  <si>
    <t>ORD00018</t>
  </si>
  <si>
    <t>ORD00021</t>
  </si>
  <si>
    <t>CUST1124</t>
  </si>
  <si>
    <t>John Bello</t>
  </si>
  <si>
    <t>ORD00102</t>
  </si>
  <si>
    <t>CUST1141</t>
  </si>
  <si>
    <t>John Johnson</t>
  </si>
  <si>
    <t>ORD00115</t>
  </si>
  <si>
    <t>CUST1240</t>
  </si>
  <si>
    <t>Kemi Musa</t>
  </si>
  <si>
    <t>ORD00220</t>
  </si>
  <si>
    <t>ORD00069</t>
  </si>
  <si>
    <t>Oluwaseun Okoro</t>
  </si>
  <si>
    <t>ORD00107</t>
  </si>
  <si>
    <t>CUST1169</t>
  </si>
  <si>
    <t>ORD00134</t>
  </si>
  <si>
    <t>CUST1042</t>
  </si>
  <si>
    <t>Ibrahim Yusuf</t>
  </si>
  <si>
    <t>ORD00226</t>
  </si>
  <si>
    <t>CUST1017</t>
  </si>
  <si>
    <t>Michael Garba</t>
  </si>
  <si>
    <t>ORD00087</t>
  </si>
  <si>
    <t>ORD00309</t>
  </si>
  <si>
    <t>CUST1171</t>
  </si>
  <si>
    <t>ORD00467</t>
  </si>
  <si>
    <t>CUST1129</t>
  </si>
  <si>
    <t>ORD00229</t>
  </si>
  <si>
    <t>CUST1195</t>
  </si>
  <si>
    <t>John Adebayo</t>
  </si>
  <si>
    <t>ORD00435</t>
  </si>
  <si>
    <t>CUST1200</t>
  </si>
  <si>
    <t>ORD00109</t>
  </si>
  <si>
    <t>Michael Nwosu</t>
  </si>
  <si>
    <t>ORD00299</t>
  </si>
  <si>
    <t>Chinedu Ogunleye</t>
  </si>
  <si>
    <t>ORD00241</t>
  </si>
  <si>
    <t>CUST1188</t>
  </si>
  <si>
    <t>Ibrahim Balogun</t>
  </si>
  <si>
    <t>ORD00269</t>
  </si>
  <si>
    <t>CUST1035</t>
  </si>
  <si>
    <t>ORD00351</t>
  </si>
  <si>
    <t>CUST1020</t>
  </si>
  <si>
    <t>ORD00122</t>
  </si>
  <si>
    <t>Samuel Williams</t>
  </si>
  <si>
    <t>ORD00468</t>
  </si>
  <si>
    <t>CUST1076</t>
  </si>
  <si>
    <t>Esther Nwosu</t>
  </si>
  <si>
    <t>ORD00484</t>
  </si>
  <si>
    <t>CUST1062</t>
  </si>
  <si>
    <t>Kemi Ibrahim</t>
  </si>
  <si>
    <t>ORD00375</t>
  </si>
  <si>
    <t>CUST1064</t>
  </si>
  <si>
    <t>Mary Obi</t>
  </si>
  <si>
    <t>ORD00277</t>
  </si>
  <si>
    <t>CUST1057</t>
  </si>
  <si>
    <t>Samuel Yusuf</t>
  </si>
  <si>
    <t>ORD00307</t>
  </si>
  <si>
    <t>John Garba</t>
  </si>
  <si>
    <t>ORD00070</t>
  </si>
  <si>
    <t>CUST1154</t>
  </si>
  <si>
    <t>John Okafor</t>
  </si>
  <si>
    <t>ORD00106</t>
  </si>
  <si>
    <t>ORD00171</t>
  </si>
  <si>
    <t>CUST1196</t>
  </si>
  <si>
    <t>Kemi Johnson</t>
  </si>
  <si>
    <t>ORD00355</t>
  </si>
  <si>
    <t>Yemi Okoro</t>
  </si>
  <si>
    <t>ORD00221</t>
  </si>
  <si>
    <t>Kemi Balogun</t>
  </si>
  <si>
    <t>ORD00011</t>
  </si>
  <si>
    <t>Ngozi Ogunleye</t>
  </si>
  <si>
    <t>ORD00131</t>
  </si>
  <si>
    <t>Kemi Williams</t>
  </si>
  <si>
    <t>ORD00327</t>
  </si>
  <si>
    <t>CUST1238</t>
  </si>
  <si>
    <t>ORD00063</t>
  </si>
  <si>
    <t>ORD00297</t>
  </si>
  <si>
    <t>Esther Bello</t>
  </si>
  <si>
    <t>ORD00326</t>
  </si>
  <si>
    <t>Precious Okafor</t>
  </si>
  <si>
    <t>ORD00156</t>
  </si>
  <si>
    <t>Oluwaseun Williams</t>
  </si>
  <si>
    <t>ORD00167</t>
  </si>
  <si>
    <t>CUST1231</t>
  </si>
  <si>
    <t>ORD00379</t>
  </si>
  <si>
    <t>CUST1235</t>
  </si>
  <si>
    <t>Chinedu Ojo</t>
  </si>
  <si>
    <t>ORD00196</t>
  </si>
  <si>
    <t>CUST1164</t>
  </si>
  <si>
    <t>ORD00272</t>
  </si>
  <si>
    <t>CUST1147</t>
  </si>
  <si>
    <t>Peter Williams</t>
  </si>
  <si>
    <t>ORD00022</t>
  </si>
  <si>
    <t>Kemi Okafor</t>
  </si>
  <si>
    <t>ORD00345</t>
  </si>
  <si>
    <t>Michael Ibrahim</t>
  </si>
  <si>
    <t>ORD00443</t>
  </si>
  <si>
    <t>CUST1179</t>
  </si>
  <si>
    <t>Janet Adeyemi</t>
  </si>
  <si>
    <t>ORD00479</t>
  </si>
  <si>
    <t>CUST1051</t>
  </si>
  <si>
    <t>Mary Yusuf</t>
  </si>
  <si>
    <t>ORD00149</t>
  </si>
  <si>
    <t>Precious Adeyemi</t>
  </si>
  <si>
    <t>ORD00135</t>
  </si>
  <si>
    <t>ORD00409</t>
  </si>
  <si>
    <t>Esther Udo</t>
  </si>
  <si>
    <t>ORD00497</t>
  </si>
  <si>
    <t>Ngozi Ojo</t>
  </si>
  <si>
    <t>ORD00292</t>
  </si>
  <si>
    <t>CUST1156</t>
  </si>
  <si>
    <t>ORD00124</t>
  </si>
  <si>
    <t>Tunde Ibrahim</t>
  </si>
  <si>
    <t>ORD00161</t>
  </si>
  <si>
    <t>ORD00412</t>
  </si>
  <si>
    <t>Yemi Balogun</t>
  </si>
  <si>
    <t>ORD00478</t>
  </si>
  <si>
    <t>Sarah Okoro</t>
  </si>
  <si>
    <t>ORD00068</t>
  </si>
  <si>
    <t>CUST1120</t>
  </si>
  <si>
    <t>ORD00369</t>
  </si>
  <si>
    <t>CUST1239</t>
  </si>
  <si>
    <t>Favour Obi</t>
  </si>
  <si>
    <t>ORD00019</t>
  </si>
  <si>
    <t>ORD00338</t>
  </si>
  <si>
    <t>ORD00363</t>
  </si>
  <si>
    <t>Sarah Musa</t>
  </si>
  <si>
    <t>ORD00313</t>
  </si>
  <si>
    <t>Precious Musa</t>
  </si>
  <si>
    <t>ORD00370</t>
  </si>
  <si>
    <t>CUST1232</t>
  </si>
  <si>
    <t>Yemi Adeyemi</t>
  </si>
  <si>
    <t>ORD00128</t>
  </si>
  <si>
    <t>CUST1214</t>
  </si>
  <si>
    <t>ORD00270</t>
  </si>
  <si>
    <t>CUST1160</t>
  </si>
  <si>
    <t>Oluwaseun Garba</t>
  </si>
  <si>
    <t>ORD00273</t>
  </si>
  <si>
    <t>Amina Adebayo</t>
  </si>
  <si>
    <t>ORD00383</t>
  </si>
  <si>
    <t>CUST1012</t>
  </si>
  <si>
    <t>ORD00024</t>
  </si>
  <si>
    <t>CUST1204</t>
  </si>
  <si>
    <t>Tunde Balogun</t>
  </si>
  <si>
    <t>ORD00090</t>
  </si>
  <si>
    <t>ORD00170</t>
  </si>
  <si>
    <t>Favour Udo</t>
  </si>
  <si>
    <t>ORD00073</t>
  </si>
  <si>
    <t>ORD00324</t>
  </si>
  <si>
    <t>CUST1071</t>
  </si>
  <si>
    <t>ORD00425</t>
  </si>
  <si>
    <t>Sarah Ibrahim</t>
  </si>
  <si>
    <t>ORD00055</t>
  </si>
  <si>
    <t>ORD00190</t>
  </si>
  <si>
    <t>CUST1026</t>
  </si>
  <si>
    <t>ORD00242</t>
  </si>
  <si>
    <t>CUST1112</t>
  </si>
  <si>
    <t>ORD00337</t>
  </si>
  <si>
    <t>CUST1009</t>
  </si>
  <si>
    <t>ORD00371</t>
  </si>
  <si>
    <t>Sarah Balogun</t>
  </si>
  <si>
    <t>ORD00317</t>
  </si>
  <si>
    <t>CUST1220</t>
  </si>
  <si>
    <t>Daniel Williams</t>
  </si>
  <si>
    <t>ORD00365</t>
  </si>
  <si>
    <t>Favour Bello</t>
  </si>
  <si>
    <t>ORD00494</t>
  </si>
  <si>
    <t>Grace Johnson</t>
  </si>
  <si>
    <t>ORD00252</t>
  </si>
  <si>
    <t>CUST1002</t>
  </si>
  <si>
    <t>Tunde Bello</t>
  </si>
  <si>
    <t>ORD00433</t>
  </si>
  <si>
    <t>CUST1123</t>
  </si>
  <si>
    <t>Precious Okoro</t>
  </si>
  <si>
    <t>ORD00203</t>
  </si>
  <si>
    <t>Oluwaseun Obi</t>
  </si>
  <si>
    <t>ORD00234</t>
  </si>
  <si>
    <t>CUST1236</t>
  </si>
  <si>
    <t>Grace Ogunleye</t>
  </si>
  <si>
    <t>ORD00237</t>
  </si>
  <si>
    <t>Mary Eze</t>
  </si>
  <si>
    <t>ORD00257</t>
  </si>
  <si>
    <t>ORD00137</t>
  </si>
  <si>
    <t>CUST1121</t>
  </si>
  <si>
    <t>ORD00344</t>
  </si>
  <si>
    <t>Oluwaseun Adebayo</t>
  </si>
  <si>
    <t>ORD00098</t>
  </si>
  <si>
    <t>CUST1107</t>
  </si>
  <si>
    <t>ORD00215</t>
  </si>
  <si>
    <t>ORD00284</t>
  </si>
  <si>
    <t>CUST1063</t>
  </si>
  <si>
    <t>Grace Okafor</t>
  </si>
  <si>
    <t>ORD00444</t>
  </si>
  <si>
    <t>ORD00265</t>
  </si>
  <si>
    <t>ORD00500</t>
  </si>
  <si>
    <t>Yemi Okafor</t>
  </si>
  <si>
    <t>ORD00097</t>
  </si>
  <si>
    <t>ORD00491</t>
  </si>
  <si>
    <t>ORD00364</t>
  </si>
  <si>
    <t>Grace Eze</t>
  </si>
  <si>
    <t>ORD00390</t>
  </si>
  <si>
    <t>ORD00460</t>
  </si>
  <si>
    <t>ORD00438</t>
  </si>
  <si>
    <t>ORD00210</t>
  </si>
  <si>
    <t>Esther Johnson</t>
  </si>
  <si>
    <t>ORD00391</t>
  </si>
  <si>
    <t>CUST1190</t>
  </si>
  <si>
    <t>Daniel Garba</t>
  </si>
  <si>
    <t>ORD00456</t>
  </si>
  <si>
    <t>CUST1145</t>
  </si>
  <si>
    <t>ORD00072</t>
  </si>
  <si>
    <t>ORD00377</t>
  </si>
  <si>
    <t>Yemi Bello</t>
  </si>
  <si>
    <t>ORD00492</t>
  </si>
  <si>
    <t>Favour Balogun</t>
  </si>
  <si>
    <t>ORD00031</t>
  </si>
  <si>
    <t>ORD00064</t>
  </si>
  <si>
    <t>Kemi Garba</t>
  </si>
  <si>
    <t>ORD00071</t>
  </si>
  <si>
    <t>CUST1182</t>
  </si>
  <si>
    <t>Ibrahim Garba</t>
  </si>
  <si>
    <t>ORD00384</t>
  </si>
  <si>
    <t>Sarah Garba</t>
  </si>
  <si>
    <t>ORD00025</t>
  </si>
  <si>
    <t>Grace Balogun</t>
  </si>
  <si>
    <t>ORD00036</t>
  </si>
  <si>
    <t>ORD00120</t>
  </si>
  <si>
    <t>ORD00076</t>
  </si>
  <si>
    <t>CUST1213</t>
  </si>
  <si>
    <t>ORD00474</t>
  </si>
  <si>
    <t>Daniel Ibrahim</t>
  </si>
  <si>
    <t>ORD00188</t>
  </si>
  <si>
    <t>Samuel Ojo</t>
  </si>
  <si>
    <t>ORD00049</t>
  </si>
  <si>
    <t>Kemi Nwosu</t>
  </si>
  <si>
    <t>ORD00401</t>
  </si>
  <si>
    <t>Daniel Obi</t>
  </si>
  <si>
    <t>ORD00406</t>
  </si>
  <si>
    <t>CUST1069</t>
  </si>
  <si>
    <t>Chinedu Adeyemi</t>
  </si>
  <si>
    <t>ORD00227</t>
  </si>
  <si>
    <t>ORD00312</t>
  </si>
  <si>
    <t>ORD00430</t>
  </si>
  <si>
    <t>Michael Adebayo</t>
  </si>
  <si>
    <t>ORD00181</t>
  </si>
  <si>
    <t>CUST1161</t>
  </si>
  <si>
    <t>ORD00325</t>
  </si>
  <si>
    <t>ORD00183</t>
  </si>
  <si>
    <t>CUST1067</t>
  </si>
  <si>
    <t>ORD00028</t>
  </si>
  <si>
    <t>CUST1191</t>
  </si>
  <si>
    <t>Favour Okafor</t>
  </si>
  <si>
    <t>ORD00194</t>
  </si>
  <si>
    <t>CUST1011</t>
  </si>
  <si>
    <t>Oluwaseun Lawal</t>
  </si>
  <si>
    <t>ORD00350</t>
  </si>
  <si>
    <t>Peter Adeyemi</t>
  </si>
  <si>
    <t>ORD00446</t>
  </si>
  <si>
    <t>CUST1237</t>
  </si>
  <si>
    <t>ORD00191</t>
  </si>
  <si>
    <t>ORD00341</t>
  </si>
  <si>
    <t>ORD00346</t>
  </si>
  <si>
    <t>CUST1151</t>
  </si>
  <si>
    <t>ORD00440</t>
  </si>
  <si>
    <t>Samuel Udo</t>
  </si>
  <si>
    <t>ORD00399</t>
  </si>
  <si>
    <t>ORD00045</t>
  </si>
  <si>
    <t>CUST1095</t>
  </si>
  <si>
    <t>Favour Ibrahim</t>
  </si>
  <si>
    <t>ORD00396</t>
  </si>
  <si>
    <t>ORD00172</t>
  </si>
  <si>
    <t>CUST1098</t>
  </si>
  <si>
    <t>Amina Eze</t>
  </si>
  <si>
    <t>ORD00447</t>
  </si>
  <si>
    <t>CUST1115</t>
  </si>
  <si>
    <t>Ngozi Nwosu</t>
  </si>
  <si>
    <t>ORD00125</t>
  </si>
  <si>
    <t>ORD00067</t>
  </si>
  <si>
    <t>Peter Afolabi</t>
  </si>
  <si>
    <t>ORD00189</t>
  </si>
  <si>
    <t>CUST1189</t>
  </si>
  <si>
    <t>John Okoro</t>
  </si>
  <si>
    <t>ORD00187</t>
  </si>
  <si>
    <t>CUST1053</t>
  </si>
  <si>
    <t>Daniel Ogunleye</t>
  </si>
  <si>
    <t>ORD00212</t>
  </si>
  <si>
    <t>CUST1194</t>
  </si>
  <si>
    <t>ORD00449</t>
  </si>
  <si>
    <t>ORD00035</t>
  </si>
  <si>
    <t>CUST1223</t>
  </si>
  <si>
    <t>Yemi Lawal</t>
  </si>
  <si>
    <t>ORD00404</t>
  </si>
  <si>
    <t>CUST1078</t>
  </si>
  <si>
    <t>Precious Johnson</t>
  </si>
  <si>
    <t>ORD00184</t>
  </si>
  <si>
    <t>ORD00279</t>
  </si>
  <si>
    <t>CUST1048</t>
  </si>
  <si>
    <t>ORD00441</t>
  </si>
  <si>
    <t>ORD00271</t>
  </si>
  <si>
    <t>ORD00293</t>
  </si>
  <si>
    <t>CUST1128</t>
  </si>
  <si>
    <t>Yemi Garba</t>
  </si>
  <si>
    <t>ORD00340</t>
  </si>
  <si>
    <t>ORD00408</t>
  </si>
  <si>
    <t>Kemi Lawal</t>
  </si>
  <si>
    <t>ORD00088</t>
  </si>
  <si>
    <t>Precious Yusuf</t>
  </si>
  <si>
    <t>ORD00112</t>
  </si>
  <si>
    <t>CUST1150</t>
  </si>
  <si>
    <t>Favour Ogunleye</t>
  </si>
  <si>
    <t>ORD00222</t>
  </si>
  <si>
    <t>ORD00352</t>
  </si>
  <si>
    <t>ORD00155</t>
  </si>
  <si>
    <t>Tunde Afolabi</t>
  </si>
  <si>
    <t>ORD00157</t>
  </si>
  <si>
    <t>CUST1207</t>
  </si>
  <si>
    <t>Yemi Udo</t>
  </si>
  <si>
    <t>ORD00174</t>
  </si>
  <si>
    <t>Yemi Afolabi</t>
  </si>
  <si>
    <t>ORD00219</t>
  </si>
  <si>
    <t>CUST1038</t>
  </si>
  <si>
    <t>ORD00254</t>
  </si>
  <si>
    <t>ORD00291</t>
  </si>
  <si>
    <t>Peter Nwosu</t>
  </si>
  <si>
    <t>ORD00422</t>
  </si>
  <si>
    <t>ORD00462</t>
  </si>
  <si>
    <t>CUST1084</t>
  </si>
  <si>
    <t>ORD00224</t>
  </si>
  <si>
    <t>Ibrahim Okoro</t>
  </si>
  <si>
    <t>ORD00397</t>
  </si>
  <si>
    <t>ORD00029</t>
  </si>
  <si>
    <t>CUST1218</t>
  </si>
  <si>
    <t>ORD00256</t>
  </si>
  <si>
    <t>Michael Johnson</t>
  </si>
  <si>
    <t>ORD00319</t>
  </si>
  <si>
    <t>CUST1122</t>
  </si>
  <si>
    <t>ORD00044</t>
  </si>
  <si>
    <t>Samuel Obi</t>
  </si>
  <si>
    <t>ORD00262</t>
  </si>
  <si>
    <t>Oluwaseun Bello</t>
  </si>
  <si>
    <t>ORD00331</t>
  </si>
  <si>
    <t>ORD00465</t>
  </si>
  <si>
    <t>Peter Ojo</t>
  </si>
  <si>
    <t>ORD00101</t>
  </si>
  <si>
    <t>CUST1180</t>
  </si>
  <si>
    <t>ORD00175</t>
  </si>
  <si>
    <t>ORD00012</t>
  </si>
  <si>
    <t>Samuel Nwosu</t>
  </si>
  <si>
    <t>ORD00310</t>
  </si>
  <si>
    <t>Daniel Lawal</t>
  </si>
  <si>
    <t>ORD00453</t>
  </si>
  <si>
    <t>Precious Garba</t>
  </si>
  <si>
    <t>ORD00002</t>
  </si>
  <si>
    <t>ORD00047</t>
  </si>
  <si>
    <t>ORD00061</t>
  </si>
  <si>
    <t>CUST1178</t>
  </si>
  <si>
    <t>ORD00139</t>
  </si>
  <si>
    <t>ORD00245</t>
  </si>
  <si>
    <t>ORD00439</t>
  </si>
  <si>
    <t>CUST1159</t>
  </si>
  <si>
    <t>ORD00393</t>
  </si>
  <si>
    <t>ORD00493</t>
  </si>
  <si>
    <t>Chinedu Nwosu</t>
  </si>
  <si>
    <t>ORD00039</t>
  </si>
  <si>
    <t>ORD00100</t>
  </si>
  <si>
    <t>Samuel Musa</t>
  </si>
  <si>
    <t>ORD00132</t>
  </si>
  <si>
    <t>ORD00267</t>
  </si>
  <si>
    <t>CUST1199</t>
  </si>
  <si>
    <t>ORD00332</t>
  </si>
  <si>
    <t>ORD00434</t>
  </si>
  <si>
    <t>ORD00249</t>
  </si>
  <si>
    <t>ORD00057</t>
  </si>
  <si>
    <t>Tunde Williams</t>
  </si>
  <si>
    <t>ORD00329</t>
  </si>
  <si>
    <t>Ngozi Eze</t>
  </si>
  <si>
    <t>ORD00207</t>
  </si>
  <si>
    <t>CUST1152</t>
  </si>
  <si>
    <t>ORD00244</t>
  </si>
  <si>
    <t>Grace Bello</t>
  </si>
  <si>
    <t>ORD00145</t>
  </si>
  <si>
    <t>Esther Okoro</t>
  </si>
  <si>
    <t>ORD00043</t>
  </si>
  <si>
    <t>Sarah Lawal</t>
  </si>
  <si>
    <t>ORD00359</t>
  </si>
  <si>
    <t>ORD00416</t>
  </si>
  <si>
    <t>ORD00486</t>
  </si>
  <si>
    <t>CUST1030</t>
  </si>
  <si>
    <t>ORD00065</t>
  </si>
  <si>
    <t>Chinedu Eze</t>
  </si>
  <si>
    <t>ORD00431</t>
  </si>
  <si>
    <t>ORD00075</t>
  </si>
  <si>
    <t>Peter Bello</t>
  </si>
  <si>
    <t>ORD00361</t>
  </si>
  <si>
    <t>Amina Yusuf</t>
  </si>
  <si>
    <t>ORD00437</t>
  </si>
  <si>
    <t>ORD00136</t>
  </si>
  <si>
    <t>ORD00382</t>
  </si>
  <si>
    <t>CUST1093</t>
  </si>
  <si>
    <t>Ngozi Okoro</t>
  </si>
  <si>
    <t>ORD00448</t>
  </si>
  <si>
    <t>Esther Lawal</t>
  </si>
  <si>
    <t>ORD00046</t>
  </si>
  <si>
    <t>Amina Nwosu</t>
  </si>
  <si>
    <t>ORD00214</t>
  </si>
  <si>
    <t>CUST1158</t>
  </si>
  <si>
    <t>Grace Obi</t>
  </si>
  <si>
    <t>ORD00360</t>
  </si>
  <si>
    <t>CUST1165</t>
  </si>
  <si>
    <t>ORD00007</t>
  </si>
  <si>
    <t>ORD00095</t>
  </si>
  <si>
    <t>ORD00469</t>
  </si>
  <si>
    <t>CUST1015</t>
  </si>
  <si>
    <t>ORD00458</t>
  </si>
  <si>
    <t>ORD00130</t>
  </si>
  <si>
    <t>Amina Musa</t>
  </si>
  <si>
    <t>ORD00354</t>
  </si>
  <si>
    <t>ORD00218</t>
  </si>
  <si>
    <t>Michael Afolabi</t>
  </si>
  <si>
    <t>ORD00238</t>
  </si>
  <si>
    <t>Chinedu Lawal</t>
  </si>
  <si>
    <t>ORD00144</t>
  </si>
  <si>
    <t>Chinedu Obi</t>
  </si>
  <si>
    <t>ORD00368</t>
  </si>
  <si>
    <t>ORD00353</t>
  </si>
  <si>
    <t>Kemi Obi</t>
  </si>
  <si>
    <t>ORD00281</t>
  </si>
  <si>
    <t>ORD00005</t>
  </si>
  <si>
    <t>Precious Balogun</t>
  </si>
  <si>
    <t>ORD00276</t>
  </si>
  <si>
    <t>Mary Afolabi</t>
  </si>
  <si>
    <t>ORD00420</t>
  </si>
  <si>
    <t>Grace Nwosu</t>
  </si>
  <si>
    <t>ORD00247</t>
  </si>
  <si>
    <t>ORD00295</t>
  </si>
  <si>
    <t>ORD00305</t>
  </si>
  <si>
    <t>Janet Udo</t>
  </si>
  <si>
    <t>ORD00395</t>
  </si>
  <si>
    <t>CUST1080</t>
  </si>
  <si>
    <t>Chinedu Okoro</t>
  </si>
  <si>
    <t>ORD00335</t>
  </si>
  <si>
    <t>CUST1205</t>
  </si>
  <si>
    <t>Kemi Bello</t>
  </si>
  <si>
    <t>ORD00402</t>
  </si>
  <si>
    <t>Tunde Musa</t>
  </si>
  <si>
    <t>ORD00255</t>
  </si>
  <si>
    <t>Kemi Ogunleye</t>
  </si>
  <si>
    <t>ORD00104</t>
  </si>
  <si>
    <t>ORD00086</t>
  </si>
  <si>
    <t>ORD00126</t>
  </si>
  <si>
    <t>Precious Adebayo</t>
  </si>
  <si>
    <t>ORD00148</t>
  </si>
  <si>
    <t>ORD00333</t>
  </si>
  <si>
    <t>Janet Johnson</t>
  </si>
  <si>
    <t>ORD00118</t>
  </si>
  <si>
    <t>ORD00388</t>
  </si>
  <si>
    <t>ORD00020</t>
  </si>
  <si>
    <t>ORD00062</t>
  </si>
  <si>
    <t>ORD00117</t>
  </si>
  <si>
    <t>ORD00304</t>
  </si>
  <si>
    <t>Yemi Johnson</t>
  </si>
  <si>
    <t>ORD00348</t>
  </si>
  <si>
    <t>Samuel Lawal</t>
  </si>
  <si>
    <t>ORD00154</t>
  </si>
  <si>
    <t>ORD00347</t>
  </si>
  <si>
    <t>ORD00436</t>
  </si>
  <si>
    <t>CUST1025</t>
  </si>
  <si>
    <t>ORD00485</t>
  </si>
  <si>
    <t>ORD00173</t>
  </si>
  <si>
    <t>ORD00199</t>
  </si>
  <si>
    <t>CUST1028</t>
  </si>
  <si>
    <t>ORD00316</t>
  </si>
  <si>
    <t>ORD00421</t>
  </si>
  <si>
    <t>CUST1108</t>
  </si>
  <si>
    <t>ORD00301</t>
  </si>
  <si>
    <t>Janet Yusuf</t>
  </si>
  <si>
    <t>ORD00016</t>
  </si>
  <si>
    <t>Ibrahim Ojo</t>
  </si>
  <si>
    <t>ORD00342</t>
  </si>
  <si>
    <t>CUST1040</t>
  </si>
  <si>
    <t>ORD00023</t>
  </si>
  <si>
    <t>ORD00480</t>
  </si>
  <si>
    <t>Peter Johnson</t>
  </si>
  <si>
    <t>ORD00096</t>
  </si>
  <si>
    <t>CUST1224</t>
  </si>
  <si>
    <t>Tunde Okafor</t>
  </si>
  <si>
    <t>ORD00195</t>
  </si>
  <si>
    <t>Ibrahim Bello</t>
  </si>
  <si>
    <t>ORD00089</t>
  </si>
  <si>
    <t>CUST1244</t>
  </si>
  <si>
    <t>ORD00298</t>
  </si>
  <si>
    <t>ORD00376</t>
  </si>
  <si>
    <t>ORD00017</t>
  </si>
  <si>
    <t>ORD00205</t>
  </si>
  <si>
    <t>ORD00424</t>
  </si>
  <si>
    <t>ORD00197</t>
  </si>
  <si>
    <t>CUST1075</t>
  </si>
  <si>
    <t>ORD00121</t>
  </si>
  <si>
    <t>Sarah Eze</t>
  </si>
  <si>
    <t>ORD00358</t>
  </si>
  <si>
    <t>ORD00414</t>
  </si>
  <si>
    <t>CUST1100</t>
  </si>
  <si>
    <t>ORD00372</t>
  </si>
  <si>
    <t>Oluwaseun Afolabi</t>
  </si>
  <si>
    <t>ORD00081</t>
  </si>
  <si>
    <t>Amina Lawal</t>
  </si>
  <si>
    <t>ORD00092</t>
  </si>
  <si>
    <t>Tunde Yusuf</t>
  </si>
  <si>
    <t>ORD00266</t>
  </si>
  <si>
    <t>ORD00275</t>
  </si>
  <si>
    <t>John Adeyemi</t>
  </si>
  <si>
    <t>ORD00374</t>
  </si>
  <si>
    <t>Precious Ojo</t>
  </si>
  <si>
    <t>ORD00235</t>
  </si>
  <si>
    <t>ORD00318</t>
  </si>
  <si>
    <t>ORD00225</t>
  </si>
  <si>
    <t>CUST1049</t>
  </si>
  <si>
    <t>ORD00426</t>
  </si>
  <si>
    <t>Michael Ojo</t>
  </si>
  <si>
    <t>ORD00160</t>
  </si>
  <si>
    <t>ORD00056</t>
  </si>
  <si>
    <t>ORD00451</t>
  </si>
  <si>
    <t>ORD00339</t>
  </si>
  <si>
    <t>ORD00027</t>
  </si>
  <si>
    <t>John Musa</t>
  </si>
  <si>
    <t>ORD00303</t>
  </si>
  <si>
    <t>Grace Afolabi</t>
  </si>
  <si>
    <t>ORD00163</t>
  </si>
  <si>
    <t>CUST1110</t>
  </si>
  <si>
    <t>ORD00164</t>
  </si>
  <si>
    <t>Samuel Balogun</t>
  </si>
  <si>
    <t>ORD00159</t>
  </si>
  <si>
    <t>ORD00463</t>
  </si>
  <si>
    <t>CUST1138</t>
  </si>
  <si>
    <t>Peter Eze</t>
  </si>
  <si>
    <t>ORD00138</t>
  </si>
  <si>
    <t>ORD00142</t>
  </si>
  <si>
    <t>ORD00320</t>
  </si>
  <si>
    <t>Kemi Eze</t>
  </si>
  <si>
    <t>ORD00328</t>
  </si>
  <si>
    <t>ORD00459</t>
  </si>
  <si>
    <t>ORD00496</t>
  </si>
  <si>
    <t>ORD00153</t>
  </si>
  <si>
    <t>ORD00014</t>
  </si>
  <si>
    <t>Chinedu Ibrahim</t>
  </si>
  <si>
    <t>ORD00179</t>
  </si>
  <si>
    <t>Daniel Adeyemi</t>
  </si>
  <si>
    <t>ORD00202</t>
  </si>
  <si>
    <t>ORD00211</t>
  </si>
  <si>
    <t>ORD00349</t>
  </si>
  <si>
    <t>CUST1219</t>
  </si>
  <si>
    <t>ORD00464</t>
  </si>
  <si>
    <t>ORD00127</t>
  </si>
  <si>
    <t>CUST1046</t>
  </si>
  <si>
    <t>ORD00038</t>
  </si>
  <si>
    <t>CUST1217</t>
  </si>
  <si>
    <t>ORD00186</t>
  </si>
  <si>
    <t>John Lawal</t>
  </si>
  <si>
    <t>ORD00389</t>
  </si>
  <si>
    <t>Ngozi Adeyemi</t>
  </si>
  <si>
    <t>ORD00473</t>
  </si>
  <si>
    <t>ORD00094</t>
  </si>
  <si>
    <t>ORD00381</t>
  </si>
  <si>
    <t>Peter Okoro</t>
  </si>
  <si>
    <t>ORD00490</t>
  </si>
  <si>
    <t>ORD00498</t>
  </si>
  <si>
    <t>ORD00230</t>
  </si>
  <si>
    <t>John Nwosu</t>
  </si>
  <si>
    <t>ORD00400</t>
  </si>
  <si>
    <t>Tunde Lawal</t>
  </si>
  <si>
    <t>ORD00302</t>
  </si>
  <si>
    <t>Grace Ibrahim</t>
  </si>
  <si>
    <t>ORD00119</t>
  </si>
  <si>
    <t>ORD00185</t>
  </si>
  <si>
    <t>ORD00114</t>
  </si>
  <si>
    <t>CUST1162</t>
  </si>
  <si>
    <t>Esther Ibrahim</t>
  </si>
  <si>
    <t>ORD00450</t>
  </si>
  <si>
    <t>ORD00472</t>
  </si>
  <si>
    <t>ORD00321</t>
  </si>
  <si>
    <t>ORD00048</t>
  </si>
  <si>
    <t>ORD00250</t>
  </si>
  <si>
    <t>CUST1043</t>
  </si>
  <si>
    <t>ORD00251</t>
  </si>
  <si>
    <t>Amina Bello</t>
  </si>
  <si>
    <t>ORD00315</t>
  </si>
  <si>
    <t>Esther Ojo</t>
  </si>
  <si>
    <t>ORD00385</t>
  </si>
  <si>
    <t>ORD00140</t>
  </si>
  <si>
    <t>CUST1060</t>
  </si>
  <si>
    <t>Favour Garba</t>
  </si>
  <si>
    <t>ORD00013</t>
  </si>
  <si>
    <t>Amina Adeyemi</t>
  </si>
  <si>
    <t>ORD00150</t>
  </si>
  <si>
    <t>Ngozi Lawal</t>
  </si>
  <si>
    <t>ORD00427</t>
  </si>
  <si>
    <t>CUST1221</t>
  </si>
  <si>
    <t>Ibrahim Williams</t>
  </si>
  <si>
    <t>ORD00015</t>
  </si>
  <si>
    <t>ORD00282</t>
  </si>
  <si>
    <t>ORD00499</t>
  </si>
  <si>
    <t>CUST1146</t>
  </si>
  <si>
    <t>ORD00182</t>
  </si>
  <si>
    <t>Amina Garba</t>
  </si>
  <si>
    <t>ORD00394</t>
  </si>
  <si>
    <t>ORD00110</t>
  </si>
  <si>
    <t>ORD00373</t>
  </si>
  <si>
    <t>ORD00415</t>
  </si>
  <si>
    <t>ORD00105</t>
  </si>
  <si>
    <t>Michael Okafor</t>
  </si>
  <si>
    <t>ORD00198</t>
  </si>
  <si>
    <t>ORD00429</t>
  </si>
  <si>
    <t>ORD00231</t>
  </si>
  <si>
    <t>ORD00152</t>
  </si>
  <si>
    <t>ORD00209</t>
  </si>
  <si>
    <t>ORD00108</t>
  </si>
  <si>
    <t>ORD00489</t>
  </si>
  <si>
    <t>ORD00034</t>
  </si>
  <si>
    <t>ORD00432</t>
  </si>
  <si>
    <t>ORD00283</t>
  </si>
  <si>
    <t>CUST1135</t>
  </si>
  <si>
    <t>ORD00033</t>
  </si>
  <si>
    <t>Daniel Nwosu</t>
  </si>
  <si>
    <t>ORD00386</t>
  </si>
  <si>
    <t>Ibrahim Lawal</t>
  </si>
  <si>
    <t>ORD00470</t>
  </si>
  <si>
    <t>Mary Williams</t>
  </si>
  <si>
    <t>ORD00206</t>
  </si>
  <si>
    <t>ORD00454</t>
  </si>
  <si>
    <t>ORD00314</t>
  </si>
  <si>
    <t>ORD00123</t>
  </si>
  <si>
    <t>Chinedu Udo</t>
  </si>
  <si>
    <t>ORD00080</t>
  </si>
  <si>
    <t>CUST1086</t>
  </si>
  <si>
    <t>Grace Williams</t>
  </si>
  <si>
    <t>ORD00177</t>
  </si>
  <si>
    <t>ORD00168</t>
  </si>
  <si>
    <t>Ibrahim Okafor</t>
  </si>
  <si>
    <t>ORD00099</t>
  </si>
  <si>
    <t>ORD00286</t>
  </si>
  <si>
    <t>CUST1091</t>
  </si>
  <si>
    <t>Daniel Balogun</t>
  </si>
  <si>
    <t>Field</t>
  </si>
  <si>
    <t>Description</t>
  </si>
  <si>
    <t>Unique identifier for each order</t>
  </si>
  <si>
    <t>Date the order was placed</t>
  </si>
  <si>
    <t>Unique customer identifier</t>
  </si>
  <si>
    <t>Customer name</t>
  </si>
  <si>
    <t>New or returning customer</t>
  </si>
  <si>
    <t>City / State / Region</t>
  </si>
  <si>
    <t>Geographic location</t>
  </si>
  <si>
    <t>Product / Category</t>
  </si>
  <si>
    <t>Product and product group</t>
  </si>
  <si>
    <t>Units purchased</t>
  </si>
  <si>
    <t>Selling price per unit</t>
  </si>
  <si>
    <t>Total product cost</t>
  </si>
  <si>
    <t>Quantity × unit price before discount</t>
  </si>
  <si>
    <t>Discount applied</t>
  </si>
  <si>
    <t>Gross sales × discount rate</t>
  </si>
  <si>
    <t>Gross sales − discount</t>
  </si>
  <si>
    <t>Net sales − cost</t>
  </si>
  <si>
    <t>Profit ÷ net sales</t>
  </si>
  <si>
    <t>How the customer paid</t>
  </si>
  <si>
    <t>Delivery/pickup method</t>
  </si>
  <si>
    <t>Delivered, pending or cancelled</t>
  </si>
  <si>
    <t>Row Labels</t>
  </si>
  <si>
    <t>Grand Total</t>
  </si>
  <si>
    <t>Sum of Net Sales (NGN)</t>
  </si>
  <si>
    <t>Sum of Profit (NGN)</t>
  </si>
  <si>
    <t>RETAIL SALES PERFORMANCE DASHBOARD</t>
  </si>
  <si>
    <t>Total Net Sales</t>
  </si>
  <si>
    <t>Total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</si>
  <si>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</si>
  <si>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</si>
  <si>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</si>
  <si>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</si>
  <si>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</si>
  <si>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</si>
  <si>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</si>
  <si>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</si>
  <si>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</si>
  <si>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</si>
  <si>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</si>
  <si>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</si>
  <si>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Key Business Insights</t>
  </si>
  <si>
    <t>1. The business generated ₦448.3 million in total net sales and ₦102.7 million in total profit, with an overall profit margin of 22.9%.</t>
  </si>
  <si>
    <t>2. Bank Transfer was the highest-performing payment method, indicating that it was the most commonly used payment channel by customers.</t>
  </si>
  <si>
    <t>3. Monthly sales performance varied throughout the year, showing periods of higher and lower sales activity.</t>
  </si>
  <si>
    <t>4. Sales performance differed across regions, showing that some regions contributed more to overall net sales than others.</t>
  </si>
  <si>
    <t>5. Customer sales included both new and returning customers, providing insight into customer acquisition and repeat purchasing behavior.</t>
  </si>
  <si>
    <t>6. Product performance varied, with some products contributing more strongly to sales and profit than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</si>
</sst>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₦#,##0"/>
    <numFmt numFmtId="166" formatCode="0.0%"/>
    <numFmt numFmtId="167" formatCode="[$₦-46A]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[Retail_Sales_Data_Analysis.xlsx]Sheet2!PivotTable3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Profit by Product</a:t>
            </a:r>
            <a:endParaRPr lang="en-US"/>
          </a:p>
        </c:rich>
      </c:tx>
      <c:layout>
        <c:manualLayout>
          <c:xMode val="edge"/>
          <c:yMode val="edge"/>
          <c:x val="0.24354155730533683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Net Sales (NGN)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Bluetooth Speaker</c:v>
                </c:pt>
                <c:pt idx="1">
                  <c:v>Bookshelf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Office Chair</c:v>
                </c:pt>
                <c:pt idx="6">
                  <c:v>Office Desk</c:v>
                </c:pt>
                <c:pt idx="7">
                  <c:v>Power Bank</c:v>
                </c:pt>
                <c:pt idx="8">
                  <c:v>Printer</c:v>
                </c:pt>
                <c:pt idx="9">
                  <c:v>Smartphone</c:v>
                </c:pt>
                <c:pt idx="10">
                  <c:v>Tablet</c:v>
                </c:pt>
                <c:pt idx="11">
                  <c:v>Wireless Earbuds</c:v>
                </c:pt>
              </c:strCache>
            </c:strRef>
          </c:cat>
          <c:val>
            <c:numRef>
              <c:f>Sheet2!$B$4:$B$16</c:f>
              <c:numCache>
                <c:formatCode>\₦#,##0</c:formatCode>
                <c:ptCount val="12"/>
                <c:pt idx="0">
                  <c:v>12349620</c:v>
                </c:pt>
                <c:pt idx="1">
                  <c:v>13662478</c:v>
                </c:pt>
                <c:pt idx="2">
                  <c:v>6742552</c:v>
                </c:pt>
                <c:pt idx="3">
                  <c:v>124477136</c:v>
                </c:pt>
                <c:pt idx="4">
                  <c:v>37013102</c:v>
                </c:pt>
                <c:pt idx="5">
                  <c:v>36309889</c:v>
                </c:pt>
                <c:pt idx="6">
                  <c:v>38254884</c:v>
                </c:pt>
                <c:pt idx="7">
                  <c:v>7232732</c:v>
                </c:pt>
                <c:pt idx="8">
                  <c:v>16269799</c:v>
                </c:pt>
                <c:pt idx="9">
                  <c:v>101349691</c:v>
                </c:pt>
                <c:pt idx="10">
                  <c:v>41523674</c:v>
                </c:pt>
                <c:pt idx="11">
                  <c:v>13140469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7-41C8-828D-EB5EE1871E5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 (NGN)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Sheet2!$A$4:$A$16</c:f>
              <c:strCache>
                <c:ptCount val="12"/>
                <c:pt idx="0">
                  <c:v>Bluetooth Speaker</c:v>
                </c:pt>
                <c:pt idx="1">
                  <c:v>Bookshelf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Office Chair</c:v>
                </c:pt>
                <c:pt idx="6">
                  <c:v>Office Desk</c:v>
                </c:pt>
                <c:pt idx="7">
                  <c:v>Power Bank</c:v>
                </c:pt>
                <c:pt idx="8">
                  <c:v>Printer</c:v>
                </c:pt>
                <c:pt idx="9">
                  <c:v>Smartphone</c:v>
                </c:pt>
                <c:pt idx="10">
                  <c:v>Tablet</c:v>
                </c:pt>
                <c:pt idx="11">
                  <c:v>Wireless Earbuds</c:v>
                </c:pt>
              </c:strCache>
            </c:strRef>
          </c:cat>
          <c:val>
            <c:numRef>
              <c:f>Sheet2!$C$4:$C$16</c:f>
              <c:numCache>
                <c:formatCode>\₦#,##0</c:formatCode>
                <c:ptCount val="12"/>
                <c:pt idx="0">
                  <c:v>4546920</c:v>
                </c:pt>
                <c:pt idx="1">
                  <c:v>4500578</c:v>
                </c:pt>
                <c:pt idx="2">
                  <c:v>2589252</c:v>
                </c:pt>
                <c:pt idx="3">
                  <c:v>21559036</c:v>
                </c:pt>
                <c:pt idx="4">
                  <c:v>9652802</c:v>
                </c:pt>
                <c:pt idx="5">
                  <c:v>10225489</c:v>
                </c:pt>
                <c:pt idx="6">
                  <c:v>11160484</c:v>
                </c:pt>
                <c:pt idx="7">
                  <c:v>2626732</c:v>
                </c:pt>
                <c:pt idx="8">
                  <c:v>4331999</c:v>
                </c:pt>
                <c:pt idx="9">
                  <c:v>18525391</c:v>
                </c:pt>
                <c:pt idx="10">
                  <c:v>8561174</c:v>
                </c:pt>
                <c:pt idx="11">
                  <c:v>4387269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7-41C8-828D-EB5EE1871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389136"/>
        <c:axId val="680387696"/>
      </c:barChart>
      <c:catAx>
        <c:axId val="680389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87696"/>
        <c:crosses val="autoZero"/>
        <c:auto val="1"/>
        <c:lblAlgn val="ctr"/>
        <c:lblOffset val="100"/>
        <c:noMultiLvlLbl val="0"/>
      </c:catAx>
      <c:valAx>
        <c:axId val="6803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38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[Retail_Sales_Data_Analysis.xlsx]Sheet4!PivotTable5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Region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North Central</c:v>
                </c:pt>
                <c:pt idx="1">
                  <c:v>North West</c:v>
                </c:pt>
                <c:pt idx="2">
                  <c:v>South East</c:v>
                </c:pt>
                <c:pt idx="3">
                  <c:v>South South</c:v>
                </c:pt>
                <c:pt idx="4">
                  <c:v>South West</c:v>
                </c:pt>
              </c:strCache>
            </c:strRef>
          </c:cat>
          <c:val>
            <c:numRef>
              <c:f>Sheet4!$B$4:$B$9</c:f>
              <c:numCache>
                <c:formatCode>\₦#,##0</c:formatCode>
                <c:ptCount val="5"/>
                <c:pt idx="0">
                  <c:v>102324070</c:v>
                </c:pt>
                <c:pt idx="1">
                  <c:v>48878931</c:v>
                </c:pt>
                <c:pt idx="2">
                  <c:v>59790444</c:v>
                </c:pt>
                <c:pt idx="3">
                  <c:v>89533837</c:v>
                </c:pt>
                <c:pt idx="4">
                  <c:v>147798744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8-41BD-B489-1FB5762FD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412656"/>
        <c:axId val="680411696"/>
      </c:barChart>
      <c:catAx>
        <c:axId val="6804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11696"/>
        <c:crosses val="autoZero"/>
        <c:auto val="1"/>
        <c:lblAlgn val="ctr"/>
        <c:lblOffset val="100"/>
        <c:noMultiLvlLbl val="0"/>
      </c:catAx>
      <c:valAx>
        <c:axId val="6804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1265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[Retail_Sales_Data_Analysis.xlsx]Sheet3!PivotTable4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Net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\₦#,##0</c:formatCode>
                <c:ptCount val="12"/>
                <c:pt idx="0">
                  <c:v>29199827</c:v>
                </c:pt>
                <c:pt idx="1">
                  <c:v>28676970</c:v>
                </c:pt>
                <c:pt idx="2">
                  <c:v>43544958</c:v>
                </c:pt>
                <c:pt idx="3">
                  <c:v>49473373</c:v>
                </c:pt>
                <c:pt idx="4">
                  <c:v>40124087</c:v>
                </c:pt>
                <c:pt idx="5">
                  <c:v>25140220</c:v>
                </c:pt>
                <c:pt idx="6">
                  <c:v>40990769</c:v>
                </c:pt>
                <c:pt idx="7">
                  <c:v>28654831</c:v>
                </c:pt>
                <c:pt idx="8">
                  <c:v>45195010</c:v>
                </c:pt>
                <c:pt idx="9">
                  <c:v>45804989</c:v>
                </c:pt>
                <c:pt idx="10">
                  <c:v>47859465</c:v>
                </c:pt>
                <c:pt idx="11">
                  <c:v>23661527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0-4211-B8E5-E2B7E15DA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960928"/>
        <c:axId val="492934048"/>
      </c:barChart>
      <c:catAx>
        <c:axId val="49296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934048"/>
        <c:crosses val="autoZero"/>
        <c:auto val="1"/>
        <c:lblAlgn val="ctr"/>
        <c:lblOffset val="100"/>
        <c:noMultiLvlLbl val="0"/>
      </c:catAx>
      <c:valAx>
        <c:axId val="49293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96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[Retail_Sales_Data_Analysis.xlsx]Sheet5!PivotTable6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Customer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Sheet5!$A$4:$A$6</c:f>
              <c:strCache>
                <c:ptCount val="2"/>
                <c:pt idx="0">
                  <c:v>Returning</c:v>
                </c:pt>
                <c:pt idx="1">
                  <c:v>New</c:v>
                </c:pt>
              </c:strCache>
            </c:strRef>
          </c:cat>
          <c:val>
            <c:numRef>
              <c:f>Sheet5!$B$4:$B$6</c:f>
              <c:numCache>
                <c:formatCode>\₦#,##0</c:formatCode>
                <c:ptCount val="2"/>
                <c:pt idx="0">
                  <c:v>263021177</c:v>
                </c:pt>
                <c:pt idx="1">
                  <c:v>185304849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1-4392-820A-01F0300BC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425664"/>
        <c:axId val="737425184"/>
      </c:barChart>
      <c:catAx>
        <c:axId val="73742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25184"/>
        <c:crosses val="autoZero"/>
        <c:auto val="1"/>
        <c:lblAlgn val="ctr"/>
        <c:lblOffset val="100"/>
        <c:noMultiLvlLbl val="0"/>
      </c:catAx>
      <c:valAx>
        <c:axId val="7374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2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[Retail_Sales_Data_Analysis.xlsx]Sheet6!PivotTable7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Bank Transfer</c:v>
                </c:pt>
                <c:pt idx="1">
                  <c:v>Card</c:v>
                </c:pt>
                <c:pt idx="2">
                  <c:v>POS</c:v>
                </c:pt>
                <c:pt idx="3">
                  <c:v>USSD</c:v>
                </c:pt>
                <c:pt idx="4">
                  <c:v>Cash</c:v>
                </c:pt>
              </c:strCache>
            </c:strRef>
          </c:cat>
          <c:val>
            <c:numRef>
              <c:f>Sheet6!$B$4:$B$9</c:f>
              <c:numCache>
                <c:formatCode>\₦#,##0</c:formatCode>
                <c:ptCount val="5"/>
                <c:pt idx="0">
                  <c:v>117232643</c:v>
                </c:pt>
                <c:pt idx="1">
                  <c:v>115764345</c:v>
                </c:pt>
                <c:pt idx="2">
                  <c:v>111982847</c:v>
                </c:pt>
                <c:pt idx="3">
                  <c:v>62172717</c:v>
                </c:pt>
                <c:pt idx="4">
                  <c:v>41173474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B-4FD6-B2A8-D72D8AA9E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433344"/>
        <c:axId val="737428064"/>
      </c:barChart>
      <c:catAx>
        <c:axId val="7374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28064"/>
        <c:crosses val="autoZero"/>
        <c:auto val="1"/>
        <c:lblAlgn val="ctr"/>
        <c:lblOffset val="100"/>
        <c:noMultiLvlLbl val="0"/>
      </c:catAx>
      <c:valAx>
        <c:axId val="7374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[Retail_Sales_Data_Analysis.xlsx]Sheet6!PivotTable7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Bank Transfer</c:v>
                </c:pt>
                <c:pt idx="1">
                  <c:v>Card</c:v>
                </c:pt>
                <c:pt idx="2">
                  <c:v>POS</c:v>
                </c:pt>
                <c:pt idx="3">
                  <c:v>USSD</c:v>
                </c:pt>
                <c:pt idx="4">
                  <c:v>Cash</c:v>
                </c:pt>
              </c:strCache>
            </c:strRef>
          </c:cat>
          <c:val>
            <c:numRef>
              <c:f>Sheet6!$B$4:$B$9</c:f>
              <c:numCache>
                <c:formatCode>\₦#,##0</c:formatCode>
                <c:ptCount val="5"/>
                <c:pt idx="0">
                  <c:v>117232643</c:v>
                </c:pt>
                <c:pt idx="1">
                  <c:v>115764345</c:v>
                </c:pt>
                <c:pt idx="2">
                  <c:v>111982847</c:v>
                </c:pt>
                <c:pt idx="3">
                  <c:v>62172717</c:v>
                </c:pt>
                <c:pt idx="4">
                  <c:v>41173474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4-46FE-9D1D-30EE4D6ED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433344"/>
        <c:axId val="737428064"/>
      </c:barChart>
      <c:catAx>
        <c:axId val="73743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28064"/>
        <c:crosses val="autoZero"/>
        <c:auto val="1"/>
        <c:lblAlgn val="ctr"/>
        <c:lblOffset val="100"/>
        <c:noMultiLvlLbl val="0"/>
      </c:catAx>
      <c:valAx>
        <c:axId val="7374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₦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43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596900</xdr:colOff>
      <xdr:row>20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897FC-AFFE-4FD6-861E-752AE0678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209550</xdr:colOff>
      <xdr:row>6</xdr:row>
      <xdr:rowOff>133350</xdr:rowOff>
    </xdr:from>
    <xdr:to>
      <xdr:col>7</xdr:col>
      <xdr:colOff>558800</xdr:colOff>
      <xdr:row>21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13F79B-18A7-45E1-81CB-C2B1B4A62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</xdr:col>
      <xdr:colOff>571500</xdr:colOff>
      <xdr:row>37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CE3DB7-B444-4171-B0A7-785A7A542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158750</xdr:colOff>
      <xdr:row>23</xdr:row>
      <xdr:rowOff>25400</xdr:rowOff>
    </xdr:from>
    <xdr:to>
      <xdr:col>7</xdr:col>
      <xdr:colOff>527050</xdr:colOff>
      <xdr:row>38</xdr:row>
      <xdr:rowOff>6350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8F7199-5D41-4FC0-8110-D8FE2CFFB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</xdr:col>
      <xdr:colOff>266700</xdr:colOff>
      <xdr:row>53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723C640-33F6-4BC4-9A82-1EDDB72F5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1054100</xdr:colOff>
      <xdr:row>1</xdr:row>
      <xdr:rowOff>174625</xdr:rowOff>
    </xdr:from>
    <xdr:to>
      <xdr:col>8</xdr:col>
      <xdr:colOff>539750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BA282-09D6-9041-8218-928CF8C0B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42.746340625003" createdVersion="8" refreshedVersion="8" minRefreshableVersion="3" recordCount="500" xr:uid="{D67CBDE9-FB22-4ACB-902E-0A5DC0DB8896}">
  <cacheSource type="worksheet">
    <worksheetSource ref="A1:V501" sheet="Sales Data"/>
  </cacheSource>
  <cacheFields count="24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6-01-01T00:00:00" count="268">
        <d v="2025-01-01T00:00:00"/>
        <d v="2025-01-02T00:00:00"/>
        <d v="2025-01-06T00:00:00"/>
        <d v="2025-01-07T00:00:00"/>
        <d v="2025-01-08T00:00:00"/>
        <d v="2025-01-09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21T00:00:00"/>
        <d v="2025-01-24T00:00:00"/>
        <d v="2025-01-25T00:00:00"/>
        <d v="2025-01-26T00:00:00"/>
        <d v="2025-01-27T00:00:00"/>
        <d v="2025-01-29T00:00:00"/>
        <d v="2025-01-30T00:00:00"/>
        <d v="2025-01-31T00:00:00"/>
        <d v="2025-02-01T00:00:00"/>
        <d v="2025-02-03T00:00:00"/>
        <d v="2025-02-04T00:00:00"/>
        <d v="2025-02-07T00:00:00"/>
        <d v="2025-02-08T00:00:00"/>
        <d v="2025-02-10T00:00:00"/>
        <d v="2025-02-13T00:00:00"/>
        <d v="2025-02-14T00:00:00"/>
        <d v="2025-02-15T00:00:00"/>
        <d v="2025-02-16T00:00:00"/>
        <d v="2025-02-17T00:00:00"/>
        <d v="2025-02-20T00:00:00"/>
        <d v="2025-02-21T00:00:00"/>
        <d v="2025-02-24T00:00:00"/>
        <d v="2025-02-25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9T00:00:00"/>
        <d v="2025-03-11T00:00:00"/>
        <d v="2025-03-12T00:00:00"/>
        <d v="2025-03-13T00:00:00"/>
        <d v="2025-03-14T00:00:00"/>
        <d v="2025-03-15T00:00:00"/>
        <d v="2025-03-16T00:00:00"/>
        <d v="2025-03-18T00:00:00"/>
        <d v="2025-03-19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3-3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9T00:00:00"/>
        <d v="2025-04-24T00:00:00"/>
        <d v="2025-04-25T00:00:00"/>
        <d v="2025-04-26T00:00:00"/>
        <d v="2025-04-27T00:00:00"/>
        <d v="2025-04-28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21T00:00:00"/>
        <d v="2025-05-22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3T00:00:00"/>
        <d v="2025-06-05T00:00:00"/>
        <d v="2025-06-06T00:00:00"/>
        <d v="2025-06-07T00:00:00"/>
        <d v="2025-06-08T00:00:00"/>
        <d v="2025-06-09T00:00:00"/>
        <d v="2025-06-11T00:00:00"/>
        <d v="2025-06-14T00:00:00"/>
        <d v="2025-06-15T00:00:00"/>
        <d v="2025-06-17T00:00:00"/>
        <d v="2025-06-18T00:00:00"/>
        <d v="2025-06-19T00:00:00"/>
        <d v="2025-06-21T00:00:00"/>
        <d v="2025-06-22T00:00:00"/>
        <d v="2025-06-23T00:00:00"/>
        <d v="2025-06-24T00:00:00"/>
        <d v="2025-06-25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2T00:00:00"/>
        <d v="2025-07-23T00:00:00"/>
        <d v="2025-07-25T00:00:00"/>
        <d v="2025-07-26T00:00:00"/>
        <d v="2025-07-28T00:00:00"/>
        <d v="2025-07-29T00:00:00"/>
        <d v="2025-07-30T00:00:00"/>
        <d v="2025-08-01T00:00:00"/>
        <d v="2025-08-02T00:00:00"/>
        <d v="2025-08-04T00:00:00"/>
        <d v="2025-08-06T00:00:00"/>
        <d v="2025-08-07T00:00:00"/>
        <d v="2025-08-08T00:00:00"/>
        <d v="2025-08-12T00:00:00"/>
        <d v="2025-08-13T00:00:00"/>
        <d v="2025-08-14T00:00:00"/>
        <d v="2025-08-15T00:00:00"/>
        <d v="2025-08-21T00:00:00"/>
        <d v="2025-08-23T00:00:00"/>
        <d v="2025-08-24T00:00:00"/>
        <d v="2025-08-25T00:00:00"/>
        <d v="2025-08-27T00:00:00"/>
        <d v="2025-08-29T00:00:00"/>
        <d v="2025-08-30T00:00:00"/>
        <d v="2025-08-31T00:00:00"/>
        <d v="2025-09-01T00:00:00"/>
        <d v="2025-09-02T00:00:00"/>
        <d v="2025-09-04T00:00:00"/>
        <d v="2025-09-06T00:00:00"/>
        <d v="2025-09-09T00:00:00"/>
        <d v="2025-09-10T00:00:00"/>
        <d v="2025-09-11T00:00:00"/>
        <d v="2025-09-12T00:00:00"/>
        <d v="2025-09-15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6T00:00:00"/>
        <d v="2025-09-27T00:00:00"/>
        <d v="2025-09-28T00:00:00"/>
        <d v="2025-09-30T00:00:00"/>
        <d v="2025-10-02T00:00:00"/>
        <d v="2025-10-05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9T00:00:00"/>
        <d v="2025-10-20T00:00:00"/>
        <d v="2025-10-21T00:00:00"/>
        <d v="2025-10-22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4T00:00:00"/>
        <d v="2025-11-15T00:00:00"/>
        <d v="2025-11-16T00:00:00"/>
        <d v="2025-11-17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23"/>
    </cacheField>
    <cacheField name="Customer ID" numFmtId="0">
      <sharedItems/>
    </cacheField>
    <cacheField name="Customer Name" numFmtId="0">
      <sharedItems/>
    </cacheField>
    <cacheField name="Customer Type" numFmtId="0">
      <sharedItems count="2">
        <s v="Returning"/>
        <s v="New"/>
      </sharedItems>
    </cacheField>
    <cacheField name="City" numFmtId="0">
      <sharedItems/>
    </cacheField>
    <cacheField name="State" numFmtId="0">
      <sharedItems/>
    </cacheField>
    <cacheField name="Region" numFmtId="0">
      <sharedItems count="5">
        <s v="North Central"/>
        <s v="South South"/>
        <s v="South West"/>
        <s v="South East"/>
        <s v="North West"/>
      </sharedItems>
    </cacheField>
    <cacheField name="Product" numFmtId="0">
      <sharedItems count="12">
        <s v="Smartphone"/>
        <s v="Keyboard"/>
        <s v="Printer"/>
        <s v="Wireless Earbuds"/>
        <s v="Power Bank"/>
        <s v="Office Chair"/>
        <s v="Laptop"/>
        <s v="Monitor"/>
        <s v="Bluetooth Speaker"/>
        <s v="Bookshelf"/>
        <s v="Tablet"/>
        <s v="Office Desk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 (NGN)" numFmtId="165">
      <sharedItems containsSemiMixedTypes="0" containsString="0" containsNumber="1" containsInteger="1" minValue="32500" maxValue="700000"/>
    </cacheField>
    <cacheField name="Cost (NGN)" numFmtId="165">
      <sharedItems containsSemiMixedTypes="0" containsString="0" containsNumber="1" containsInteger="1" minValue="20900" maxValue="4306400"/>
    </cacheField>
    <cacheField name="Gross Sales (NGN)" numFmtId="165">
      <sharedItems containsSemiMixedTypes="0" containsString="0" containsNumber="1" containsInteger="1" minValue="33000" maxValue="5380000"/>
    </cacheField>
    <cacheField name="Discount Rate" numFmtId="9">
      <sharedItems containsSemiMixedTypes="0" containsString="0" containsNumber="1" minValue="0" maxValue="0.1"/>
    </cacheField>
    <cacheField name="Discount Amount (NGN)" numFmtId="165">
      <sharedItems containsSemiMixedTypes="0" containsString="0" containsNumber="1" containsInteger="1" minValue="0" maxValue="493120"/>
    </cacheField>
    <cacheField name="Net Sales (NGN)" numFmtId="165">
      <sharedItems containsSemiMixedTypes="0" containsString="0" containsNumber="1" containsInteger="1" minValue="0" maxValue="5380000"/>
    </cacheField>
    <cacheField name="Profit (NGN)" numFmtId="165">
      <sharedItems containsSemiMixedTypes="0" containsString="0" containsNumber="1" containsInteger="1" minValue="0" maxValue="1167200"/>
    </cacheField>
    <cacheField name="Payment Method" numFmtId="0">
      <sharedItems count="5">
        <s v="Card"/>
        <s v="USSD"/>
        <s v="Bank Transfer"/>
        <s v="Cash"/>
        <s v="POS"/>
      </sharedItems>
    </cacheField>
    <cacheField name="Shipping Method" numFmtId="0">
      <sharedItems/>
    </cacheField>
    <cacheField name="Order Status" numFmtId="0">
      <sharedItems/>
    </cacheField>
    <cacheField name="Profit Margin" numFmtId="166">
      <sharedItems containsSemiMixedTypes="0" containsString="0" containsNumber="1" minValue="0" maxValue="0.44892473118279569"/>
    </cacheField>
    <cacheField name="Days (Order Date)" numFmtId="0" databaseField="0">
      <fieldGroup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Order Date)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00059"/>
    <x v="0"/>
    <s v="CUST1090"/>
    <s v="Oluwaseun Ibrahim"/>
    <x v="0"/>
    <s v="Abuja"/>
    <s v="FCT"/>
    <x v="0"/>
    <x v="0"/>
    <s v="Electronics"/>
    <n v="6"/>
    <n v="434200"/>
    <n v="1961400"/>
    <n v="2605200"/>
    <n v="0.05"/>
    <n v="130260"/>
    <n v="2474940"/>
    <n v="513540"/>
    <x v="0"/>
    <s v="Standard"/>
    <s v="Delivered"/>
    <n v="0.20749593929549809"/>
  </r>
  <r>
    <s v="ORD00306"/>
    <x v="1"/>
    <s v="CUST1246"/>
    <s v="Sarah Nwosu"/>
    <x v="0"/>
    <s v="Ilorin"/>
    <s v="Kwara"/>
    <x v="0"/>
    <x v="1"/>
    <s v="Accessories"/>
    <n v="5"/>
    <n v="34800"/>
    <n v="104500"/>
    <n v="174000"/>
    <n v="0.05"/>
    <n v="8700"/>
    <n v="165300"/>
    <n v="60800"/>
    <x v="1"/>
    <s v="Standard"/>
    <s v="Delivered"/>
    <n v="0.36781609195402298"/>
  </r>
  <r>
    <s v="ORD00322"/>
    <x v="2"/>
    <s v="CUST1197"/>
    <s v="Samuel Adebayo"/>
    <x v="1"/>
    <s v="Port Harcourt"/>
    <s v="Rivers"/>
    <x v="1"/>
    <x v="2"/>
    <s v="Office Equipment"/>
    <n v="5"/>
    <n v="157000"/>
    <n v="558000"/>
    <n v="785000"/>
    <n v="0"/>
    <n v="0"/>
    <n v="785000"/>
    <n v="227000"/>
    <x v="2"/>
    <s v="Standard"/>
    <s v="Pending"/>
    <n v="0.28917197452229298"/>
  </r>
  <r>
    <s v="ORD00037"/>
    <x v="3"/>
    <s v="CUST1174"/>
    <s v="Ngozi Williams"/>
    <x v="1"/>
    <s v="Ikeja"/>
    <s v="Lagos"/>
    <x v="2"/>
    <x v="3"/>
    <s v="Accessories"/>
    <n v="7"/>
    <n v="61300"/>
    <n v="300300"/>
    <n v="429100"/>
    <n v="0.05"/>
    <n v="21455"/>
    <n v="407645"/>
    <n v="107345"/>
    <x v="3"/>
    <s v="Express"/>
    <s v="Delivered"/>
    <n v="0.26332961277582212"/>
  </r>
  <r>
    <s v="ORD00274"/>
    <x v="3"/>
    <s v="CUST1058"/>
    <s v="Samuel Johnson"/>
    <x v="0"/>
    <s v="Warri"/>
    <s v="Delta"/>
    <x v="1"/>
    <x v="4"/>
    <s v="Accessories"/>
    <n v="8"/>
    <n v="48500"/>
    <n v="224000"/>
    <n v="388000"/>
    <n v="0"/>
    <n v="0"/>
    <n v="388000"/>
    <n v="164000"/>
    <x v="0"/>
    <s v="Express"/>
    <s v="Delivered"/>
    <n v="0.42268041237113402"/>
  </r>
  <r>
    <s v="ORD00387"/>
    <x v="3"/>
    <s v="CUST1155"/>
    <s v="Kemi Adebayo"/>
    <x v="1"/>
    <s v="Ikeja"/>
    <s v="Lagos"/>
    <x v="2"/>
    <x v="2"/>
    <s v="Office Equipment"/>
    <n v="4"/>
    <n v="162600"/>
    <n v="447600"/>
    <n v="650400"/>
    <n v="0.02"/>
    <n v="13008"/>
    <n v="637392"/>
    <n v="189792"/>
    <x v="1"/>
    <s v="Standard"/>
    <s v="Pending"/>
    <n v="0.2977633857971233"/>
  </r>
  <r>
    <s v="ORD00442"/>
    <x v="3"/>
    <s v="CUST1249"/>
    <s v="Michael Okoro"/>
    <x v="1"/>
    <s v="Ikeja"/>
    <s v="Lagos"/>
    <x v="2"/>
    <x v="5"/>
    <s v="Furniture"/>
    <n v="6"/>
    <n v="169300"/>
    <n v="738000"/>
    <n v="1015800"/>
    <n v="0.05"/>
    <n v="50790"/>
    <n v="965010"/>
    <n v="227010"/>
    <x v="3"/>
    <s v="Standard"/>
    <s v="Delivered"/>
    <n v="0.23524108558460541"/>
  </r>
  <r>
    <s v="ORD00236"/>
    <x v="4"/>
    <s v="CUST1222"/>
    <s v="Esther Balogun"/>
    <x v="1"/>
    <s v="Ilorin"/>
    <s v="Kwara"/>
    <x v="0"/>
    <x v="1"/>
    <s v="Accessories"/>
    <n v="3"/>
    <n v="35100"/>
    <n v="65400"/>
    <n v="105300"/>
    <n v="0.05"/>
    <n v="5265"/>
    <n v="100035"/>
    <n v="34635"/>
    <x v="2"/>
    <s v="Express"/>
    <s v="Delivered"/>
    <n v="0.34622881991303051"/>
  </r>
  <r>
    <s v="ORD00423"/>
    <x v="4"/>
    <s v="CUST1250"/>
    <s v="Mary Okoro"/>
    <x v="1"/>
    <s v="Enugu"/>
    <s v="Enugu"/>
    <x v="3"/>
    <x v="5"/>
    <s v="Furniture"/>
    <n v="5"/>
    <n v="184800"/>
    <n v="631000"/>
    <n v="924000"/>
    <n v="0.05"/>
    <n v="46200"/>
    <n v="877800"/>
    <n v="246800"/>
    <x v="3"/>
    <s v="Standard"/>
    <s v="Delivered"/>
    <n v="0.28115743905217588"/>
  </r>
  <r>
    <s v="ORD00093"/>
    <x v="5"/>
    <s v="CUST1099"/>
    <s v="Yemi Nwosu"/>
    <x v="1"/>
    <s v="Abuja"/>
    <s v="FCT"/>
    <x v="0"/>
    <x v="6"/>
    <s v="Electronics"/>
    <n v="3"/>
    <n v="683900"/>
    <n v="1597500"/>
    <n v="2051700"/>
    <n v="0.05"/>
    <n v="102585"/>
    <n v="1949115"/>
    <n v="351615"/>
    <x v="2"/>
    <s v="Express"/>
    <s v="Delivered"/>
    <n v="0.1803972572167368"/>
  </r>
  <r>
    <s v="ORD00495"/>
    <x v="5"/>
    <s v="CUST1079"/>
    <s v="Yemi Adebayo"/>
    <x v="0"/>
    <s v="Enugu"/>
    <s v="Enugu"/>
    <x v="3"/>
    <x v="4"/>
    <s v="Accessories"/>
    <n v="2"/>
    <n v="48100"/>
    <n v="55800"/>
    <n v="96200"/>
    <n v="0"/>
    <n v="0"/>
    <n v="96200"/>
    <n v="40400"/>
    <x v="1"/>
    <s v="Pickup"/>
    <s v="Delivered"/>
    <n v="0.41995841995841998"/>
  </r>
  <r>
    <s v="ORD00077"/>
    <x v="6"/>
    <s v="CUST1234"/>
    <s v="Chinedu Okafor"/>
    <x v="0"/>
    <s v="Ibadan"/>
    <s v="Oyo"/>
    <x v="2"/>
    <x v="7"/>
    <s v="Office Equipment"/>
    <n v="4"/>
    <n v="214800"/>
    <n v="609600"/>
    <n v="859200"/>
    <n v="0.08"/>
    <n v="68736"/>
    <n v="790464"/>
    <n v="180864"/>
    <x v="2"/>
    <s v="Express"/>
    <s v="Delivered"/>
    <n v="0.22880738401748851"/>
  </r>
  <r>
    <s v="ORD00084"/>
    <x v="7"/>
    <s v="CUST1019"/>
    <s v="Favour Musa"/>
    <x v="0"/>
    <s v="Ibadan"/>
    <s v="Oyo"/>
    <x v="2"/>
    <x v="4"/>
    <s v="Accessories"/>
    <n v="3"/>
    <n v="42000"/>
    <n v="80700"/>
    <n v="126000"/>
    <n v="0.1"/>
    <n v="12600"/>
    <n v="113400"/>
    <n v="32700"/>
    <x v="1"/>
    <s v="Express"/>
    <s v="Delivered"/>
    <n v="0.28835978835978843"/>
  </r>
  <r>
    <s v="ORD00111"/>
    <x v="7"/>
    <s v="CUST1087"/>
    <s v="Michael Yusuf"/>
    <x v="0"/>
    <s v="Abuja"/>
    <s v="FCT"/>
    <x v="0"/>
    <x v="8"/>
    <s v="Accessories"/>
    <n v="6"/>
    <n v="84400"/>
    <n v="315600"/>
    <n v="506400"/>
    <n v="0.02"/>
    <n v="10128"/>
    <n v="496272"/>
    <n v="180672"/>
    <x v="4"/>
    <s v="Standard"/>
    <s v="Delivered"/>
    <n v="0.36405841957636143"/>
  </r>
  <r>
    <s v="ORD00143"/>
    <x v="7"/>
    <s v="CUST1032"/>
    <s v="Ngozi Afolabi"/>
    <x v="0"/>
    <s v="Benin City"/>
    <s v="Edo"/>
    <x v="1"/>
    <x v="0"/>
    <s v="Electronics"/>
    <n v="2"/>
    <n v="391000"/>
    <n v="644600"/>
    <n v="782000"/>
    <n v="0"/>
    <n v="0"/>
    <n v="0"/>
    <n v="0"/>
    <x v="2"/>
    <s v="Pickup"/>
    <s v="Cancelled"/>
    <n v="0"/>
  </r>
  <r>
    <s v="ORD00178"/>
    <x v="7"/>
    <s v="CUST1139"/>
    <s v="Oluwaseun Ojo"/>
    <x v="0"/>
    <s v="Ilorin"/>
    <s v="Kwara"/>
    <x v="0"/>
    <x v="9"/>
    <s v="Furniture"/>
    <n v="5"/>
    <n v="118900"/>
    <n v="393500"/>
    <n v="594500"/>
    <n v="0"/>
    <n v="0"/>
    <n v="594500"/>
    <n v="201000"/>
    <x v="2"/>
    <s v="Standard"/>
    <s v="Pending"/>
    <n v="0.3380992430613961"/>
  </r>
  <r>
    <s v="ORD00253"/>
    <x v="7"/>
    <s v="CUST1126"/>
    <s v="Mary Bello"/>
    <x v="1"/>
    <s v="Warri"/>
    <s v="Delta"/>
    <x v="1"/>
    <x v="7"/>
    <s v="Office Equipment"/>
    <n v="3"/>
    <n v="214300"/>
    <n v="441000"/>
    <n v="642900"/>
    <n v="0"/>
    <n v="0"/>
    <n v="642900"/>
    <n v="201900"/>
    <x v="4"/>
    <s v="Standard"/>
    <s v="Delivered"/>
    <n v="0.31404573028464772"/>
  </r>
  <r>
    <s v="ORD00362"/>
    <x v="7"/>
    <s v="CUST1118"/>
    <s v="Ibrahim Ogunleye"/>
    <x v="0"/>
    <s v="Ikeja"/>
    <s v="Lagos"/>
    <x v="2"/>
    <x v="4"/>
    <s v="Accessories"/>
    <n v="7"/>
    <n v="48600"/>
    <n v="188300"/>
    <n v="340200"/>
    <n v="0.08"/>
    <n v="27216"/>
    <n v="312984"/>
    <n v="124684"/>
    <x v="0"/>
    <s v="Standard"/>
    <s v="Delivered"/>
    <n v="0.39837180175344428"/>
  </r>
  <r>
    <s v="ORD00482"/>
    <x v="7"/>
    <s v="CUST1099"/>
    <s v="Favour Nwosu"/>
    <x v="1"/>
    <s v="Ilorin"/>
    <s v="Kwara"/>
    <x v="0"/>
    <x v="10"/>
    <s v="Electronics"/>
    <n v="5"/>
    <n v="294200"/>
    <n v="1070500"/>
    <n v="1471000"/>
    <n v="0.02"/>
    <n v="29420"/>
    <n v="1441580"/>
    <n v="371080"/>
    <x v="2"/>
    <s v="Pickup"/>
    <s v="Delivered"/>
    <n v="0.25741200627089722"/>
  </r>
  <r>
    <s v="ORD00060"/>
    <x v="8"/>
    <s v="CUST1168"/>
    <s v="Chinedu Garba"/>
    <x v="1"/>
    <s v="Lagos"/>
    <s v="Lagos"/>
    <x v="2"/>
    <x v="8"/>
    <s v="Accessories"/>
    <n v="6"/>
    <n v="82800"/>
    <n v="303000"/>
    <n v="496800"/>
    <n v="0"/>
    <n v="0"/>
    <n v="0"/>
    <n v="0"/>
    <x v="4"/>
    <s v="Express"/>
    <s v="Cancelled"/>
    <n v="0"/>
  </r>
  <r>
    <s v="ORD00223"/>
    <x v="8"/>
    <s v="CUST1210"/>
    <s v="Favour Yusuf"/>
    <x v="0"/>
    <s v="Ibadan"/>
    <s v="Oyo"/>
    <x v="2"/>
    <x v="7"/>
    <s v="Office Equipment"/>
    <n v="7"/>
    <n v="196900"/>
    <n v="1061200"/>
    <n v="1378300"/>
    <n v="0.05"/>
    <n v="68915"/>
    <n v="1309385"/>
    <n v="248185"/>
    <x v="4"/>
    <s v="Standard"/>
    <s v="Delivered"/>
    <n v="0.18954318248643451"/>
  </r>
  <r>
    <s v="ORD00041"/>
    <x v="9"/>
    <s v="CUST1143"/>
    <s v="Amina Okafor"/>
    <x v="0"/>
    <s v="Benin City"/>
    <s v="Edo"/>
    <x v="1"/>
    <x v="1"/>
    <s v="Accessories"/>
    <n v="4"/>
    <n v="35300"/>
    <n v="87200"/>
    <n v="141200"/>
    <n v="0.02"/>
    <n v="2824"/>
    <n v="138376"/>
    <n v="51176"/>
    <x v="0"/>
    <s v="Standard"/>
    <s v="Delivered"/>
    <n v="0.36983291900329529"/>
  </r>
  <r>
    <s v="ORD00141"/>
    <x v="9"/>
    <s v="CUST1073"/>
    <s v="Peter Okafor"/>
    <x v="1"/>
    <s v="Ibadan"/>
    <s v="Oyo"/>
    <x v="2"/>
    <x v="2"/>
    <s v="Office Equipment"/>
    <n v="6"/>
    <n v="169700"/>
    <n v="691800"/>
    <n v="1018200"/>
    <n v="0.05"/>
    <n v="50910"/>
    <n v="967290"/>
    <n v="275490"/>
    <x v="4"/>
    <s v="Standard"/>
    <s v="Delivered"/>
    <n v="0.28480600440405668"/>
  </r>
  <r>
    <s v="ORD00054"/>
    <x v="10"/>
    <s v="CUST1192"/>
    <s v="Favour Eze"/>
    <x v="0"/>
    <s v="Warri"/>
    <s v="Delta"/>
    <x v="1"/>
    <x v="11"/>
    <s v="Furniture"/>
    <n v="6"/>
    <n v="249600"/>
    <n v="952800"/>
    <n v="1497600"/>
    <n v="0.08"/>
    <n v="119808"/>
    <n v="1377792"/>
    <n v="424992"/>
    <x v="3"/>
    <s v="Standard"/>
    <s v="Delivered"/>
    <n v="0.30845875139353401"/>
  </r>
  <r>
    <s v="ORD00228"/>
    <x v="11"/>
    <s v="CUST1208"/>
    <s v="Mary Okoro"/>
    <x v="0"/>
    <s v="Benin City"/>
    <s v="Edo"/>
    <x v="1"/>
    <x v="6"/>
    <s v="Electronics"/>
    <n v="1"/>
    <n v="678400"/>
    <n v="520700"/>
    <n v="678400"/>
    <n v="0"/>
    <n v="0"/>
    <n v="678400"/>
    <n v="157700"/>
    <x v="1"/>
    <s v="Express"/>
    <s v="Delivered"/>
    <n v="0.23245872641509441"/>
  </r>
  <r>
    <s v="ORD00367"/>
    <x v="11"/>
    <s v="CUST1077"/>
    <s v="Daniel Ojo"/>
    <x v="1"/>
    <s v="Abuja"/>
    <s v="FCT"/>
    <x v="0"/>
    <x v="10"/>
    <s v="Electronics"/>
    <n v="4"/>
    <n v="278900"/>
    <n v="826000"/>
    <n v="1115600"/>
    <n v="0"/>
    <n v="0"/>
    <n v="1115600"/>
    <n v="289600"/>
    <x v="2"/>
    <s v="Standard"/>
    <s v="Delivered"/>
    <n v="0.25959125134456801"/>
  </r>
  <r>
    <s v="ORD00151"/>
    <x v="12"/>
    <s v="CUST1133"/>
    <s v="Yemi Williams"/>
    <x v="1"/>
    <s v="Enugu"/>
    <s v="Enugu"/>
    <x v="3"/>
    <x v="6"/>
    <s v="Electronics"/>
    <n v="1"/>
    <n v="675600"/>
    <n v="526600"/>
    <n v="675600"/>
    <n v="0.05"/>
    <n v="33780"/>
    <n v="641820"/>
    <n v="115220"/>
    <x v="2"/>
    <s v="Standard"/>
    <s v="Delivered"/>
    <n v="0.17952073790159229"/>
  </r>
  <r>
    <s v="ORD00239"/>
    <x v="12"/>
    <s v="CUST1018"/>
    <s v="Ngozi Garba"/>
    <x v="0"/>
    <s v="Abeokuta"/>
    <s v="Ogun"/>
    <x v="2"/>
    <x v="5"/>
    <s v="Furniture"/>
    <n v="5"/>
    <n v="166500"/>
    <n v="603000"/>
    <n v="832500"/>
    <n v="0"/>
    <n v="0"/>
    <n v="832500"/>
    <n v="229500"/>
    <x v="4"/>
    <s v="Standard"/>
    <s v="Delivered"/>
    <n v="0.27567567567567569"/>
  </r>
  <r>
    <s v="ORD00003"/>
    <x v="13"/>
    <s v="CUST1073"/>
    <s v="Ibrahim Udo"/>
    <x v="0"/>
    <s v="Ibadan"/>
    <s v="Oyo"/>
    <x v="2"/>
    <x v="0"/>
    <s v="Electronics"/>
    <n v="4"/>
    <n v="421000"/>
    <n v="1350000"/>
    <n v="1684000"/>
    <n v="0"/>
    <n v="0"/>
    <n v="1684000"/>
    <n v="334000"/>
    <x v="1"/>
    <s v="Express"/>
    <s v="Delivered"/>
    <n v="0.19833729216152021"/>
  </r>
  <r>
    <s v="ORD00103"/>
    <x v="13"/>
    <s v="CUST1047"/>
    <s v="Precious Bello"/>
    <x v="0"/>
    <s v="Abeokuta"/>
    <s v="Ogun"/>
    <x v="2"/>
    <x v="2"/>
    <s v="Office Equipment"/>
    <n v="6"/>
    <n v="150600"/>
    <n v="691800"/>
    <n v="903600"/>
    <n v="0.1"/>
    <n v="90360"/>
    <n v="813240"/>
    <n v="121440"/>
    <x v="2"/>
    <s v="Standard"/>
    <s v="Delivered"/>
    <n v="0.1493286114800059"/>
  </r>
  <r>
    <s v="ORD00113"/>
    <x v="14"/>
    <s v="CUST1148"/>
    <s v="Favour Okoro"/>
    <x v="0"/>
    <s v="Port Harcourt"/>
    <s v="Rivers"/>
    <x v="1"/>
    <x v="10"/>
    <s v="Electronics"/>
    <n v="7"/>
    <n v="266700"/>
    <n v="1546300"/>
    <n v="1866900"/>
    <n v="0"/>
    <n v="0"/>
    <n v="0"/>
    <n v="0"/>
    <x v="4"/>
    <s v="Standard"/>
    <s v="Cancelled"/>
    <n v="0"/>
  </r>
  <r>
    <s v="ORD00243"/>
    <x v="14"/>
    <s v="CUST1024"/>
    <s v="Kemi Okoro"/>
    <x v="1"/>
    <s v="Benin City"/>
    <s v="Edo"/>
    <x v="1"/>
    <x v="1"/>
    <s v="Accessories"/>
    <n v="1"/>
    <n v="34500"/>
    <n v="21500"/>
    <n v="34500"/>
    <n v="0.05"/>
    <n v="1725"/>
    <n v="32775"/>
    <n v="11275"/>
    <x v="1"/>
    <s v="Standard"/>
    <s v="Delivered"/>
    <n v="0.34401220442410368"/>
  </r>
  <r>
    <s v="ORD00457"/>
    <x v="14"/>
    <s v="CUST1230"/>
    <s v="Esther Okafor"/>
    <x v="0"/>
    <s v="Port Harcourt"/>
    <s v="Rivers"/>
    <x v="1"/>
    <x v="10"/>
    <s v="Electronics"/>
    <n v="3"/>
    <n v="276000"/>
    <n v="655500"/>
    <n v="828000"/>
    <n v="0"/>
    <n v="0"/>
    <n v="828000"/>
    <n v="172500"/>
    <x v="2"/>
    <s v="Standard"/>
    <s v="Delivered"/>
    <n v="0.20833333333333329"/>
  </r>
  <r>
    <s v="ORD00476"/>
    <x v="14"/>
    <s v="CUST1202"/>
    <s v="Daniel Okoro"/>
    <x v="0"/>
    <s v="Warri"/>
    <s v="Delta"/>
    <x v="1"/>
    <x v="2"/>
    <s v="Office Equipment"/>
    <n v="3"/>
    <n v="152800"/>
    <n v="339300"/>
    <n v="458400"/>
    <n v="0"/>
    <n v="0"/>
    <n v="458400"/>
    <n v="119100"/>
    <x v="0"/>
    <s v="Express"/>
    <s v="Delivered"/>
    <n v="0.25981675392670162"/>
  </r>
  <r>
    <s v="ORD00213"/>
    <x v="15"/>
    <s v="CUST1037"/>
    <s v="Amina Balogun"/>
    <x v="1"/>
    <s v="Enugu"/>
    <s v="Enugu"/>
    <x v="3"/>
    <x v="1"/>
    <s v="Accessories"/>
    <n v="2"/>
    <n v="36800"/>
    <n v="41400"/>
    <n v="73600"/>
    <n v="0"/>
    <n v="0"/>
    <n v="73600"/>
    <n v="32200"/>
    <x v="4"/>
    <s v="Express"/>
    <s v="Delivered"/>
    <n v="0.4375"/>
  </r>
  <r>
    <s v="ORD00356"/>
    <x v="16"/>
    <s v="CUST1153"/>
    <s v="Tunde Adeyemi"/>
    <x v="0"/>
    <s v="Port Harcourt"/>
    <s v="Rivers"/>
    <x v="1"/>
    <x v="4"/>
    <s v="Accessories"/>
    <n v="1"/>
    <n v="43200"/>
    <n v="27100"/>
    <n v="43200"/>
    <n v="0.02"/>
    <n v="0"/>
    <n v="0"/>
    <n v="0"/>
    <x v="0"/>
    <s v="Express"/>
    <s v="Cancelled"/>
    <n v="0"/>
  </r>
  <r>
    <s v="ORD00216"/>
    <x v="17"/>
    <s v="CUST1118"/>
    <s v="Ibrahim Johnson"/>
    <x v="1"/>
    <s v="Kano"/>
    <s v="Kano"/>
    <x v="4"/>
    <x v="3"/>
    <s v="Accessories"/>
    <n v="2"/>
    <n v="62700"/>
    <n v="86000"/>
    <n v="125400"/>
    <n v="0.08"/>
    <n v="10032"/>
    <n v="115368"/>
    <n v="29368"/>
    <x v="4"/>
    <s v="Pickup"/>
    <s v="Delivered"/>
    <n v="0.25455932320920882"/>
  </r>
  <r>
    <s v="ORD00079"/>
    <x v="18"/>
    <s v="CUST1109"/>
    <s v="Chinedu Bello"/>
    <x v="1"/>
    <s v="Onitsha"/>
    <s v="Anambra"/>
    <x v="3"/>
    <x v="11"/>
    <s v="Furniture"/>
    <n v="7"/>
    <n v="229200"/>
    <n v="1168300"/>
    <n v="1604400"/>
    <n v="0"/>
    <n v="0"/>
    <n v="1604400"/>
    <n v="436100"/>
    <x v="1"/>
    <s v="Standard"/>
    <s v="Delivered"/>
    <n v="0.2718150087260035"/>
  </r>
  <r>
    <s v="ORD00483"/>
    <x v="18"/>
    <s v="CUST1125"/>
    <s v="Sarah Afolabi"/>
    <x v="1"/>
    <s v="Abuja"/>
    <s v="FCT"/>
    <x v="0"/>
    <x v="1"/>
    <s v="Accessories"/>
    <n v="1"/>
    <n v="35700"/>
    <n v="21000"/>
    <n v="35700"/>
    <n v="0.08"/>
    <n v="2856"/>
    <n v="32844"/>
    <n v="11844"/>
    <x v="2"/>
    <s v="Express"/>
    <s v="Delivered"/>
    <n v="0.36061381074168802"/>
  </r>
  <r>
    <s v="ORD00158"/>
    <x v="19"/>
    <s v="CUST1039"/>
    <s v="Michael Balogun"/>
    <x v="0"/>
    <s v="Ilorin"/>
    <s v="Kwara"/>
    <x v="0"/>
    <x v="9"/>
    <s v="Furniture"/>
    <n v="5"/>
    <n v="121700"/>
    <n v="390500"/>
    <n v="608500"/>
    <n v="0"/>
    <n v="0"/>
    <n v="608500"/>
    <n v="218000"/>
    <x v="2"/>
    <s v="Standard"/>
    <s v="Delivered"/>
    <n v="0.35825801150369763"/>
  </r>
  <r>
    <s v="ORD00471"/>
    <x v="20"/>
    <s v="CUST1242"/>
    <s v="Precious Ogunleye"/>
    <x v="1"/>
    <s v="Ibadan"/>
    <s v="Oyo"/>
    <x v="2"/>
    <x v="0"/>
    <s v="Electronics"/>
    <n v="6"/>
    <n v="441500"/>
    <n v="2052000"/>
    <n v="2649000"/>
    <n v="0"/>
    <n v="0"/>
    <n v="2649000"/>
    <n v="597000"/>
    <x v="4"/>
    <s v="Express"/>
    <s v="Delivered"/>
    <n v="0.22536806342015861"/>
  </r>
  <r>
    <s v="ORD00300"/>
    <x v="21"/>
    <s v="CUST1137"/>
    <s v="Janet Garba"/>
    <x v="1"/>
    <s v="Lagos"/>
    <s v="Lagos"/>
    <x v="2"/>
    <x v="1"/>
    <s v="Accessories"/>
    <n v="7"/>
    <n v="33300"/>
    <n v="141400"/>
    <n v="233100"/>
    <n v="0"/>
    <n v="0"/>
    <n v="233100"/>
    <n v="91700"/>
    <x v="2"/>
    <s v="Standard"/>
    <s v="Delivered"/>
    <n v="0.39339339339339341"/>
  </r>
  <r>
    <s v="ORD00380"/>
    <x v="22"/>
    <s v="CUST1089"/>
    <s v="Ngozi Ibrahim"/>
    <x v="0"/>
    <s v="Ibadan"/>
    <s v="Oyo"/>
    <x v="2"/>
    <x v="9"/>
    <s v="Furniture"/>
    <n v="1"/>
    <n v="121400"/>
    <n v="76000"/>
    <n v="121400"/>
    <n v="0"/>
    <n v="0"/>
    <n v="121400"/>
    <n v="45400"/>
    <x v="0"/>
    <s v="Pickup"/>
    <s v="Delivered"/>
    <n v="0.37397034596375622"/>
  </r>
  <r>
    <s v="ORD00004"/>
    <x v="23"/>
    <s v="CUST1206"/>
    <s v="Samuel Okoro"/>
    <x v="1"/>
    <s v="Benin City"/>
    <s v="Edo"/>
    <x v="1"/>
    <x v="3"/>
    <s v="Accessories"/>
    <n v="2"/>
    <n v="66900"/>
    <n v="83600"/>
    <n v="133800"/>
    <n v="0"/>
    <n v="0"/>
    <n v="133800"/>
    <n v="50200"/>
    <x v="4"/>
    <s v="Standard"/>
    <s v="Delivered"/>
    <n v="0.37518684603886399"/>
  </r>
  <r>
    <s v="ORD00008"/>
    <x v="23"/>
    <s v="CUST1193"/>
    <s v="Daniel Bello"/>
    <x v="0"/>
    <s v="Warri"/>
    <s v="Delta"/>
    <x v="1"/>
    <x v="0"/>
    <s v="Electronics"/>
    <n v="7"/>
    <n v="431300"/>
    <n v="2375800"/>
    <n v="3019100"/>
    <n v="0.02"/>
    <n v="60382"/>
    <n v="2958718"/>
    <n v="582918"/>
    <x v="3"/>
    <s v="Express"/>
    <s v="Delivered"/>
    <n v="0.19701708645433599"/>
  </r>
  <r>
    <s v="ORD00204"/>
    <x v="23"/>
    <s v="CUST1087"/>
    <s v="Grace Okoro"/>
    <x v="0"/>
    <s v="Benin City"/>
    <s v="Edo"/>
    <x v="1"/>
    <x v="9"/>
    <s v="Furniture"/>
    <n v="6"/>
    <n v="112900"/>
    <n v="480600"/>
    <n v="677400"/>
    <n v="0"/>
    <n v="0"/>
    <n v="677400"/>
    <n v="196800"/>
    <x v="4"/>
    <s v="Standard"/>
    <s v="Delivered"/>
    <n v="0.29052258635961031"/>
  </r>
  <r>
    <s v="ORD00366"/>
    <x v="23"/>
    <s v="CUST1006"/>
    <s v="Michael Balogun"/>
    <x v="0"/>
    <s v="Warri"/>
    <s v="Delta"/>
    <x v="1"/>
    <x v="11"/>
    <s v="Furniture"/>
    <n v="5"/>
    <n v="221300"/>
    <n v="801500"/>
    <n v="1106500"/>
    <n v="0.05"/>
    <n v="55325"/>
    <n v="1051175"/>
    <n v="249675"/>
    <x v="1"/>
    <s v="Pickup"/>
    <s v="Delivered"/>
    <n v="0.237519918186791"/>
  </r>
  <r>
    <s v="ORD00263"/>
    <x v="24"/>
    <s v="CUST1127"/>
    <s v="Tunde Okoro"/>
    <x v="0"/>
    <s v="Abuja"/>
    <s v="FCT"/>
    <x v="0"/>
    <x v="4"/>
    <s v="Accessories"/>
    <n v="1"/>
    <n v="46200"/>
    <n v="27100"/>
    <n v="46200"/>
    <n v="0.1"/>
    <n v="4620"/>
    <n v="41580"/>
    <n v="14480"/>
    <x v="4"/>
    <s v="Standard"/>
    <s v="Delivered"/>
    <n v="0.34824434824434819"/>
  </r>
  <r>
    <s v="ORD00311"/>
    <x v="24"/>
    <s v="CUST1119"/>
    <s v="Favour Lawal"/>
    <x v="0"/>
    <s v="Ibadan"/>
    <s v="Oyo"/>
    <x v="2"/>
    <x v="11"/>
    <s v="Furniture"/>
    <n v="7"/>
    <n v="231000"/>
    <n v="1165500"/>
    <n v="1617000"/>
    <n v="0.05"/>
    <n v="80850"/>
    <n v="1536150"/>
    <n v="370650"/>
    <x v="2"/>
    <s v="Pickup"/>
    <s v="Delivered"/>
    <n v="0.24128503075871499"/>
  </r>
  <r>
    <s v="ORD00452"/>
    <x v="24"/>
    <s v="CUST1187"/>
    <s v="John Ogunleye"/>
    <x v="1"/>
    <s v="Lagos"/>
    <s v="Lagos"/>
    <x v="2"/>
    <x v="5"/>
    <s v="Furniture"/>
    <n v="5"/>
    <n v="172600"/>
    <n v="622500"/>
    <n v="863000"/>
    <n v="0.08"/>
    <n v="69040"/>
    <n v="793960"/>
    <n v="171460"/>
    <x v="1"/>
    <s v="Pickup"/>
    <s v="Delivered"/>
    <n v="0.21595546375132249"/>
  </r>
  <r>
    <s v="ORD00246"/>
    <x v="25"/>
    <s v="CUST1016"/>
    <s v="Janet Nwosu"/>
    <x v="0"/>
    <s v="Ilorin"/>
    <s v="Kwara"/>
    <x v="0"/>
    <x v="11"/>
    <s v="Furniture"/>
    <n v="3"/>
    <n v="227800"/>
    <n v="489900"/>
    <n v="683400"/>
    <n v="0.08"/>
    <n v="54672"/>
    <n v="628728"/>
    <n v="138828"/>
    <x v="2"/>
    <s v="Express"/>
    <s v="Delivered"/>
    <n v="0.22080772607550481"/>
  </r>
  <r>
    <s v="ORD00006"/>
    <x v="26"/>
    <s v="CUST1157"/>
    <s v="Peter Yusuf"/>
    <x v="1"/>
    <s v="Ikeja"/>
    <s v="Lagos"/>
    <x v="2"/>
    <x v="3"/>
    <s v="Accessories"/>
    <n v="7"/>
    <n v="68400"/>
    <n v="290500"/>
    <n v="478800"/>
    <n v="0"/>
    <n v="0"/>
    <n v="478800"/>
    <n v="188300"/>
    <x v="1"/>
    <s v="Express"/>
    <s v="Delivered"/>
    <n v="0.39327485380116961"/>
  </r>
  <r>
    <s v="ORD00240"/>
    <x v="26"/>
    <s v="CUST1105"/>
    <s v="Favour Adeyemi"/>
    <x v="1"/>
    <s v="Lagos"/>
    <s v="Lagos"/>
    <x v="2"/>
    <x v="7"/>
    <s v="Office Equipment"/>
    <n v="2"/>
    <n v="222700"/>
    <n v="311400"/>
    <n v="445400"/>
    <n v="0"/>
    <n v="0"/>
    <n v="445400"/>
    <n v="134000"/>
    <x v="3"/>
    <s v="Standard"/>
    <s v="Delivered"/>
    <n v="0.30085316569375842"/>
  </r>
  <r>
    <s v="ORD00410"/>
    <x v="26"/>
    <s v="CUST1173"/>
    <s v="Janet Afolabi"/>
    <x v="1"/>
    <s v="Abuja"/>
    <s v="FCT"/>
    <x v="0"/>
    <x v="6"/>
    <s v="Electronics"/>
    <n v="1"/>
    <n v="686800"/>
    <n v="529400"/>
    <n v="686800"/>
    <n v="0"/>
    <n v="0"/>
    <n v="686800"/>
    <n v="157400"/>
    <x v="0"/>
    <s v="Pickup"/>
    <s v="Delivered"/>
    <n v="0.2291788002329645"/>
  </r>
  <r>
    <s v="ORD00323"/>
    <x v="27"/>
    <s v="CUST1119"/>
    <s v="Peter Lawal"/>
    <x v="0"/>
    <s v="Ikeja"/>
    <s v="Lagos"/>
    <x v="2"/>
    <x v="0"/>
    <s v="Electronics"/>
    <n v="2"/>
    <n v="408700"/>
    <n v="693000"/>
    <n v="817400"/>
    <n v="0.05"/>
    <n v="40870"/>
    <n v="776530"/>
    <n v="83530"/>
    <x v="0"/>
    <s v="Express"/>
    <s v="Delivered"/>
    <n v="0.10756828454792471"/>
  </r>
  <r>
    <s v="ORD00336"/>
    <x v="28"/>
    <s v="CUST1019"/>
    <s v="Chinedu Yusuf"/>
    <x v="1"/>
    <s v="Abeokuta"/>
    <s v="Ogun"/>
    <x v="2"/>
    <x v="10"/>
    <s v="Electronics"/>
    <n v="2"/>
    <n v="275900"/>
    <n v="436200"/>
    <n v="551800"/>
    <n v="0"/>
    <n v="0"/>
    <n v="551800"/>
    <n v="115600"/>
    <x v="1"/>
    <s v="Standard"/>
    <s v="Delivered"/>
    <n v="0.20949619427328739"/>
  </r>
  <r>
    <s v="ORD00455"/>
    <x v="28"/>
    <s v="CUST1058"/>
    <s v="Tunde Adebayo"/>
    <x v="0"/>
    <s v="Onitsha"/>
    <s v="Anambra"/>
    <x v="3"/>
    <x v="3"/>
    <s v="Accessories"/>
    <n v="7"/>
    <n v="68600"/>
    <n v="291200"/>
    <n v="480200"/>
    <n v="0.02"/>
    <n v="9604"/>
    <n v="470596"/>
    <n v="179396"/>
    <x v="0"/>
    <s v="Pickup"/>
    <s v="Delivered"/>
    <n v="0.38121021003153449"/>
  </r>
  <r>
    <s v="ORD00260"/>
    <x v="29"/>
    <s v="CUST1106"/>
    <s v="Grace Ojo"/>
    <x v="0"/>
    <s v="Warri"/>
    <s v="Delta"/>
    <x v="1"/>
    <x v="3"/>
    <s v="Accessories"/>
    <n v="1"/>
    <n v="65400"/>
    <n v="43500"/>
    <n v="65400"/>
    <n v="0"/>
    <n v="0"/>
    <n v="65400"/>
    <n v="21900"/>
    <x v="2"/>
    <s v="Express"/>
    <s v="Delivered"/>
    <n v="0.33486238532110091"/>
  </r>
  <r>
    <s v="ORD00026"/>
    <x v="30"/>
    <s v="CUST1099"/>
    <s v="Janet Garba"/>
    <x v="1"/>
    <s v="Kano"/>
    <s v="Kano"/>
    <x v="4"/>
    <x v="9"/>
    <s v="Furniture"/>
    <n v="4"/>
    <n v="122400"/>
    <n v="301600"/>
    <n v="489600"/>
    <n v="0"/>
    <n v="0"/>
    <n v="489600"/>
    <n v="188000"/>
    <x v="1"/>
    <s v="Express"/>
    <s v="Delivered"/>
    <n v="0.38398692810457519"/>
  </r>
  <r>
    <s v="ORD00066"/>
    <x v="30"/>
    <s v="CUST1068"/>
    <s v="Michael Yusuf"/>
    <x v="0"/>
    <s v="Abeokuta"/>
    <s v="Ogun"/>
    <x v="2"/>
    <x v="8"/>
    <s v="Accessories"/>
    <n v="5"/>
    <n v="79900"/>
    <n v="258000"/>
    <n v="399500"/>
    <n v="0.05"/>
    <n v="19975"/>
    <n v="379525"/>
    <n v="121525"/>
    <x v="4"/>
    <s v="Express"/>
    <s v="Delivered"/>
    <n v="0.32020288518542922"/>
  </r>
  <r>
    <s v="ORD00208"/>
    <x v="30"/>
    <s v="CUST1140"/>
    <s v="Mary Johnson"/>
    <x v="1"/>
    <s v="Port Harcourt"/>
    <s v="Rivers"/>
    <x v="1"/>
    <x v="11"/>
    <s v="Furniture"/>
    <n v="3"/>
    <n v="225900"/>
    <n v="498600"/>
    <n v="677700"/>
    <n v="0.02"/>
    <n v="13554"/>
    <n v="664146"/>
    <n v="165546"/>
    <x v="3"/>
    <s v="Standard"/>
    <s v="Delivered"/>
    <n v="0.24926145757107621"/>
  </r>
  <r>
    <s v="ORD00330"/>
    <x v="30"/>
    <s v="CUST1116"/>
    <s v="Chinedu Yusuf"/>
    <x v="0"/>
    <s v="Lagos"/>
    <s v="Lagos"/>
    <x v="2"/>
    <x v="11"/>
    <s v="Furniture"/>
    <n v="3"/>
    <n v="256800"/>
    <n v="482400"/>
    <n v="770400"/>
    <n v="0.05"/>
    <n v="38520"/>
    <n v="731880"/>
    <n v="249480"/>
    <x v="2"/>
    <s v="Express"/>
    <s v="Delivered"/>
    <n v="0.34087555336940478"/>
  </r>
  <r>
    <s v="ORD00357"/>
    <x v="30"/>
    <s v="CUST1181"/>
    <s v="Yemi Ibrahim"/>
    <x v="0"/>
    <s v="Abeokuta"/>
    <s v="Ogun"/>
    <x v="2"/>
    <x v="1"/>
    <s v="Accessories"/>
    <n v="5"/>
    <n v="37100"/>
    <n v="104500"/>
    <n v="185500"/>
    <n v="0.1"/>
    <n v="18550"/>
    <n v="166950"/>
    <n v="62450"/>
    <x v="2"/>
    <s v="Express"/>
    <s v="Delivered"/>
    <n v="0.37406409104522309"/>
  </r>
  <r>
    <s v="ORD00259"/>
    <x v="31"/>
    <s v="CUST1149"/>
    <s v="Esther Adebayo"/>
    <x v="1"/>
    <s v="Lagos"/>
    <s v="Lagos"/>
    <x v="2"/>
    <x v="7"/>
    <s v="Office Equipment"/>
    <n v="3"/>
    <n v="196800"/>
    <n v="437700"/>
    <n v="590400"/>
    <n v="0.08"/>
    <n v="47232"/>
    <n v="543168"/>
    <n v="105468"/>
    <x v="0"/>
    <s v="Express"/>
    <s v="Delivered"/>
    <n v="0.194171968893602"/>
  </r>
  <r>
    <s v="ORD00419"/>
    <x v="31"/>
    <s v="CUST1019"/>
    <s v="Grace Garba"/>
    <x v="0"/>
    <s v="Ikeja"/>
    <s v="Lagos"/>
    <x v="2"/>
    <x v="0"/>
    <s v="Electronics"/>
    <n v="4"/>
    <n v="443000"/>
    <n v="1352400"/>
    <n v="1772000"/>
    <n v="0"/>
    <n v="0"/>
    <n v="1772000"/>
    <n v="419600"/>
    <x v="0"/>
    <s v="Express"/>
    <s v="Delivered"/>
    <n v="0.23679458239277651"/>
  </r>
  <r>
    <s v="ORD00166"/>
    <x v="32"/>
    <s v="CUST1245"/>
    <s v="Tunde Eze"/>
    <x v="0"/>
    <s v="Ilorin"/>
    <s v="Kwara"/>
    <x v="0"/>
    <x v="0"/>
    <s v="Electronics"/>
    <n v="1"/>
    <n v="425800"/>
    <n v="337300"/>
    <n v="425800"/>
    <n v="0.05"/>
    <n v="21290"/>
    <n v="404510"/>
    <n v="67210"/>
    <x v="2"/>
    <s v="Standard"/>
    <s v="Pending"/>
    <n v="0.16615164025611229"/>
  </r>
  <r>
    <s v="ORD00289"/>
    <x v="32"/>
    <s v="CUST1149"/>
    <s v="Michael Udo"/>
    <x v="0"/>
    <s v="Warri"/>
    <s v="Delta"/>
    <x v="1"/>
    <x v="8"/>
    <s v="Accessories"/>
    <n v="8"/>
    <n v="83400"/>
    <n v="412000"/>
    <n v="667200"/>
    <n v="0.05"/>
    <n v="33360"/>
    <n v="633840"/>
    <n v="221840"/>
    <x v="3"/>
    <s v="Express"/>
    <s v="Delivered"/>
    <n v="0.349993689259119"/>
  </r>
  <r>
    <s v="ORD00268"/>
    <x v="33"/>
    <s v="CUST1088"/>
    <s v="Ngozi Afolabi"/>
    <x v="0"/>
    <s v="Kano"/>
    <s v="Kano"/>
    <x v="4"/>
    <x v="6"/>
    <s v="Electronics"/>
    <n v="4"/>
    <n v="644100"/>
    <n v="2088800"/>
    <n v="2576400"/>
    <n v="0"/>
    <n v="0"/>
    <n v="2576400"/>
    <n v="487600"/>
    <x v="1"/>
    <s v="Standard"/>
    <s v="Delivered"/>
    <n v="0.18925632665735129"/>
  </r>
  <r>
    <s v="ORD00074"/>
    <x v="34"/>
    <s v="CUST1103"/>
    <s v="Daniel Eze"/>
    <x v="1"/>
    <s v="Lagos"/>
    <s v="Lagos"/>
    <x v="2"/>
    <x v="8"/>
    <s v="Accessories"/>
    <n v="2"/>
    <n v="85000"/>
    <n v="106200"/>
    <n v="170000"/>
    <n v="0"/>
    <n v="0"/>
    <n v="170000"/>
    <n v="63800"/>
    <x v="4"/>
    <s v="Standard"/>
    <s v="Delivered"/>
    <n v="0.37529411764705878"/>
  </r>
  <r>
    <s v="ORD00082"/>
    <x v="34"/>
    <s v="CUST1111"/>
    <s v="Favour Adeyemi"/>
    <x v="1"/>
    <s v="Ilorin"/>
    <s v="Kwara"/>
    <x v="0"/>
    <x v="2"/>
    <s v="Office Equipment"/>
    <n v="8"/>
    <n v="170600"/>
    <n v="912000"/>
    <n v="1364800"/>
    <n v="0.05"/>
    <n v="68240"/>
    <n v="1296560"/>
    <n v="384560"/>
    <x v="2"/>
    <s v="Standard"/>
    <s v="Pending"/>
    <n v="0.29660023446658851"/>
  </r>
  <r>
    <s v="ORD00052"/>
    <x v="35"/>
    <s v="CUST1094"/>
    <s v="Mary Ojo"/>
    <x v="1"/>
    <s v="Abuja"/>
    <s v="FCT"/>
    <x v="0"/>
    <x v="0"/>
    <s v="Electronics"/>
    <n v="5"/>
    <n v="408000"/>
    <n v="1620500"/>
    <n v="2040000"/>
    <n v="0.02"/>
    <n v="40800"/>
    <n v="1999200"/>
    <n v="378700"/>
    <x v="2"/>
    <s v="Express"/>
    <s v="Delivered"/>
    <n v="0.18942577030812319"/>
  </r>
  <r>
    <s v="ORD00201"/>
    <x v="35"/>
    <s v="CUST1065"/>
    <s v="Amina Balogun"/>
    <x v="1"/>
    <s v="Lagos"/>
    <s v="Lagos"/>
    <x v="2"/>
    <x v="11"/>
    <s v="Furniture"/>
    <n v="8"/>
    <n v="235200"/>
    <n v="1284800"/>
    <n v="1881600"/>
    <n v="0"/>
    <n v="0"/>
    <n v="1881600"/>
    <n v="596800"/>
    <x v="0"/>
    <s v="Express"/>
    <s v="Delivered"/>
    <n v="0.31717687074829931"/>
  </r>
  <r>
    <s v="ORD00398"/>
    <x v="35"/>
    <s v="CUST1113"/>
    <s v="Ngozi Udo"/>
    <x v="0"/>
    <s v="Warri"/>
    <s v="Delta"/>
    <x v="1"/>
    <x v="10"/>
    <s v="Electronics"/>
    <n v="4"/>
    <n v="298700"/>
    <n v="833200"/>
    <n v="1194800"/>
    <n v="0"/>
    <n v="0"/>
    <n v="1194800"/>
    <n v="361600"/>
    <x v="4"/>
    <s v="Express"/>
    <s v="Delivered"/>
    <n v="0.30264479410780049"/>
  </r>
  <r>
    <s v="ORD00040"/>
    <x v="36"/>
    <s v="CUST1044"/>
    <s v="Ngozi Yusuf"/>
    <x v="1"/>
    <s v="Onitsha"/>
    <s v="Anambra"/>
    <x v="3"/>
    <x v="5"/>
    <s v="Furniture"/>
    <n v="7"/>
    <n v="179400"/>
    <n v="845600"/>
    <n v="1255800"/>
    <n v="0.02"/>
    <n v="25116"/>
    <n v="1230684"/>
    <n v="385084"/>
    <x v="1"/>
    <s v="Standard"/>
    <s v="Delivered"/>
    <n v="0.31290241849248063"/>
  </r>
  <r>
    <s v="ORD00405"/>
    <x v="36"/>
    <s v="CUST1198"/>
    <s v="Tunde Udo"/>
    <x v="1"/>
    <s v="Kano"/>
    <s v="Kano"/>
    <x v="4"/>
    <x v="4"/>
    <s v="Accessories"/>
    <n v="6"/>
    <n v="46100"/>
    <n v="166800"/>
    <n v="276600"/>
    <n v="0.05"/>
    <n v="13830"/>
    <n v="262770"/>
    <n v="95970"/>
    <x v="0"/>
    <s v="Pickup"/>
    <s v="Delivered"/>
    <n v="0.36522434067815962"/>
  </r>
  <r>
    <s v="ORD00278"/>
    <x v="37"/>
    <s v="CUST1183"/>
    <s v="Esther Garba"/>
    <x v="1"/>
    <s v="Ilorin"/>
    <s v="Kwara"/>
    <x v="0"/>
    <x v="10"/>
    <s v="Electronics"/>
    <n v="2"/>
    <n v="272000"/>
    <n v="420400"/>
    <n v="544000"/>
    <n v="0"/>
    <n v="0"/>
    <n v="544000"/>
    <n v="123600"/>
    <x v="2"/>
    <s v="Pickup"/>
    <s v="Delivered"/>
    <n v="0.2272058823529412"/>
  </r>
  <r>
    <s v="ORD00481"/>
    <x v="37"/>
    <s v="CUST1097"/>
    <s v="Daniel Johnson"/>
    <x v="1"/>
    <s v="Ibadan"/>
    <s v="Oyo"/>
    <x v="2"/>
    <x v="8"/>
    <s v="Accessories"/>
    <n v="1"/>
    <n v="84000"/>
    <n v="51300"/>
    <n v="84000"/>
    <n v="0"/>
    <n v="0"/>
    <n v="84000"/>
    <n v="32700"/>
    <x v="1"/>
    <s v="Standard"/>
    <s v="Delivered"/>
    <n v="0.38928571428571429"/>
  </r>
  <r>
    <s v="ORD00180"/>
    <x v="38"/>
    <s v="CUST1172"/>
    <s v="Mary Adebayo"/>
    <x v="0"/>
    <s v="Ibadan"/>
    <s v="Oyo"/>
    <x v="2"/>
    <x v="3"/>
    <s v="Accessories"/>
    <n v="5"/>
    <n v="63300"/>
    <n v="206500"/>
    <n v="316500"/>
    <n v="0.08"/>
    <n v="25320"/>
    <n v="291180"/>
    <n v="84680"/>
    <x v="2"/>
    <s v="Standard"/>
    <s v="Delivered"/>
    <n v="0.29081667696957209"/>
  </r>
  <r>
    <s v="ORD00091"/>
    <x v="39"/>
    <s v="CUST1229"/>
    <s v="Mary Ibrahim"/>
    <x v="0"/>
    <s v="Onitsha"/>
    <s v="Anambra"/>
    <x v="3"/>
    <x v="7"/>
    <s v="Office Equipment"/>
    <n v="7"/>
    <n v="206100"/>
    <n v="1065400"/>
    <n v="1442700"/>
    <n v="0"/>
    <n v="0"/>
    <n v="1442700"/>
    <n v="377300"/>
    <x v="1"/>
    <s v="Express"/>
    <s v="Pending"/>
    <n v="0.26152353226589042"/>
  </r>
  <r>
    <s v="ORD00403"/>
    <x v="39"/>
    <s v="CUST1054"/>
    <s v="Janet Ojo"/>
    <x v="1"/>
    <s v="Port Harcourt"/>
    <s v="Rivers"/>
    <x v="1"/>
    <x v="7"/>
    <s v="Office Equipment"/>
    <n v="5"/>
    <n v="199000"/>
    <n v="748500"/>
    <n v="995000"/>
    <n v="0.05"/>
    <n v="49750"/>
    <n v="945250"/>
    <n v="196750"/>
    <x v="3"/>
    <s v="Standard"/>
    <s v="Delivered"/>
    <n v="0.20814599312351231"/>
  </r>
  <r>
    <s v="ORD00058"/>
    <x v="40"/>
    <s v="CUST1185"/>
    <s v="Chinedu Balogun"/>
    <x v="0"/>
    <s v="Ilorin"/>
    <s v="Kwara"/>
    <x v="0"/>
    <x v="8"/>
    <s v="Accessories"/>
    <n v="4"/>
    <n v="78300"/>
    <n v="216000"/>
    <n v="313200"/>
    <n v="0.02"/>
    <n v="6264"/>
    <n v="306936"/>
    <n v="90936"/>
    <x v="2"/>
    <s v="Pickup"/>
    <s v="Delivered"/>
    <n v="0.29627023223082338"/>
  </r>
  <r>
    <s v="ORD00146"/>
    <x v="40"/>
    <s v="CUST1227"/>
    <s v="Ibrahim Afolabi"/>
    <x v="1"/>
    <s v="Abeokuta"/>
    <s v="Ogun"/>
    <x v="2"/>
    <x v="3"/>
    <s v="Accessories"/>
    <n v="4"/>
    <n v="65300"/>
    <n v="167200"/>
    <n v="261200"/>
    <n v="0"/>
    <n v="0"/>
    <n v="261200"/>
    <n v="94000"/>
    <x v="2"/>
    <s v="Pickup"/>
    <s v="Pending"/>
    <n v="0.35987748851454832"/>
  </r>
  <r>
    <s v="ORD00009"/>
    <x v="41"/>
    <s v="CUST1096"/>
    <s v="Ibrahim Nwosu"/>
    <x v="1"/>
    <s v="Warri"/>
    <s v="Delta"/>
    <x v="1"/>
    <x v="10"/>
    <s v="Electronics"/>
    <n v="3"/>
    <n v="281000"/>
    <n v="641400"/>
    <n v="843000"/>
    <n v="0"/>
    <n v="0"/>
    <n v="843000"/>
    <n v="201600"/>
    <x v="2"/>
    <s v="Pickup"/>
    <s v="Delivered"/>
    <n v="0.2391459074733096"/>
  </r>
  <r>
    <s v="ORD00200"/>
    <x v="41"/>
    <s v="CUST1023"/>
    <s v="Janet Obi"/>
    <x v="0"/>
    <s v="Kano"/>
    <s v="Kano"/>
    <x v="4"/>
    <x v="7"/>
    <s v="Office Equipment"/>
    <n v="4"/>
    <n v="220000"/>
    <n v="615600"/>
    <n v="880000"/>
    <n v="0.08"/>
    <n v="70400"/>
    <n v="809600"/>
    <n v="194000"/>
    <x v="2"/>
    <s v="Express"/>
    <s v="Pending"/>
    <n v="0.23962450592885379"/>
  </r>
  <r>
    <s v="ORD00487"/>
    <x v="42"/>
    <s v="CUST1031"/>
    <s v="Michael Balogun"/>
    <x v="0"/>
    <s v="Kano"/>
    <s v="Kano"/>
    <x v="4"/>
    <x v="0"/>
    <s v="Electronics"/>
    <n v="3"/>
    <n v="441600"/>
    <n v="987300"/>
    <n v="1324800"/>
    <n v="0"/>
    <n v="0"/>
    <n v="1324800"/>
    <n v="337500"/>
    <x v="2"/>
    <s v="Pickup"/>
    <s v="Delivered"/>
    <n v="0.2547554347826087"/>
  </r>
  <r>
    <s v="ORD00147"/>
    <x v="43"/>
    <s v="CUST1013"/>
    <s v="Sarah Yusuf"/>
    <x v="0"/>
    <s v="Ilorin"/>
    <s v="Kwara"/>
    <x v="0"/>
    <x v="10"/>
    <s v="Electronics"/>
    <n v="5"/>
    <n v="258500"/>
    <n v="1054500"/>
    <n v="1292500"/>
    <n v="0.05"/>
    <n v="64625"/>
    <n v="1227875"/>
    <n v="173375"/>
    <x v="3"/>
    <s v="Pickup"/>
    <s v="Delivered"/>
    <n v="0.1411992263056093"/>
  </r>
  <r>
    <s v="ORD00475"/>
    <x v="43"/>
    <s v="CUST1193"/>
    <s v="Samuel Adeyemi"/>
    <x v="1"/>
    <s v="Warri"/>
    <s v="Delta"/>
    <x v="1"/>
    <x v="11"/>
    <s v="Furniture"/>
    <n v="2"/>
    <n v="223000"/>
    <n v="336600"/>
    <n v="446000"/>
    <n v="0.08"/>
    <n v="35680"/>
    <n v="410320"/>
    <n v="73720"/>
    <x v="1"/>
    <s v="Standard"/>
    <s v="Delivered"/>
    <n v="0.1796646519789433"/>
  </r>
  <r>
    <s v="ORD00010"/>
    <x v="44"/>
    <s v="CUST1170"/>
    <s v="Ngozi Ibrahim"/>
    <x v="0"/>
    <s v="Ilorin"/>
    <s v="Kwara"/>
    <x v="0"/>
    <x v="10"/>
    <s v="Electronics"/>
    <n v="5"/>
    <n v="267900"/>
    <n v="1038500"/>
    <n v="1339500"/>
    <n v="0"/>
    <n v="0"/>
    <n v="1339500"/>
    <n v="301000"/>
    <x v="0"/>
    <s v="Standard"/>
    <s v="Delivered"/>
    <n v="0.22471071295259429"/>
  </r>
  <r>
    <s v="ORD00417"/>
    <x v="44"/>
    <s v="CUST1234"/>
    <s v="John Balogun"/>
    <x v="1"/>
    <s v="Enugu"/>
    <s v="Enugu"/>
    <x v="3"/>
    <x v="8"/>
    <s v="Accessories"/>
    <n v="6"/>
    <n v="84300"/>
    <n v="302400"/>
    <n v="505800"/>
    <n v="0"/>
    <n v="0"/>
    <n v="505800"/>
    <n v="203400"/>
    <x v="2"/>
    <s v="Standard"/>
    <s v="Delivered"/>
    <n v="0.40213523131672602"/>
  </r>
  <r>
    <s v="ORD00288"/>
    <x v="45"/>
    <s v="CUST1061"/>
    <s v="Tunde Obi"/>
    <x v="0"/>
    <s v="Abuja"/>
    <s v="FCT"/>
    <x v="0"/>
    <x v="8"/>
    <s v="Accessories"/>
    <n v="3"/>
    <n v="91000"/>
    <n v="154800"/>
    <n v="273000"/>
    <n v="0"/>
    <n v="0"/>
    <n v="273000"/>
    <n v="118200"/>
    <x v="0"/>
    <s v="Standard"/>
    <s v="Delivered"/>
    <n v="0.43296703296703298"/>
  </r>
  <r>
    <s v="ORD00461"/>
    <x v="46"/>
    <s v="CUST1041"/>
    <s v="Yemi Adebayo"/>
    <x v="1"/>
    <s v="Abeokuta"/>
    <s v="Ogun"/>
    <x v="2"/>
    <x v="8"/>
    <s v="Accessories"/>
    <n v="2"/>
    <n v="84200"/>
    <n v="100000"/>
    <n v="168400"/>
    <n v="0"/>
    <n v="0"/>
    <n v="168400"/>
    <n v="68400"/>
    <x v="2"/>
    <s v="Standard"/>
    <s v="Delivered"/>
    <n v="0.40617577197149651"/>
  </r>
  <r>
    <s v="ORD00162"/>
    <x v="47"/>
    <s v="CUST1004"/>
    <s v="Oluwaseun Okafor"/>
    <x v="1"/>
    <s v="Abuja"/>
    <s v="FCT"/>
    <x v="0"/>
    <x v="0"/>
    <s v="Electronics"/>
    <n v="6"/>
    <n v="397600"/>
    <n v="1959000"/>
    <n v="2385600"/>
    <n v="0"/>
    <n v="0"/>
    <n v="2385600"/>
    <n v="426600"/>
    <x v="4"/>
    <s v="Standard"/>
    <s v="Delivered"/>
    <n v="0.17882293762575449"/>
  </r>
  <r>
    <s v="ORD00280"/>
    <x v="47"/>
    <s v="CUST1092"/>
    <s v="John Ibrahim"/>
    <x v="0"/>
    <s v="Abuja"/>
    <s v="FCT"/>
    <x v="0"/>
    <x v="3"/>
    <s v="Accessories"/>
    <n v="4"/>
    <n v="61300"/>
    <n v="170400"/>
    <n v="245200"/>
    <n v="0.05"/>
    <n v="12260"/>
    <n v="232940"/>
    <n v="62540"/>
    <x v="1"/>
    <s v="Express"/>
    <s v="Delivered"/>
    <n v="0.26848115394522187"/>
  </r>
  <r>
    <s v="ORD00407"/>
    <x v="47"/>
    <s v="CUST1003"/>
    <s v="Sarah Obi"/>
    <x v="1"/>
    <s v="Ibadan"/>
    <s v="Oyo"/>
    <x v="2"/>
    <x v="4"/>
    <s v="Accessories"/>
    <n v="7"/>
    <n v="45900"/>
    <n v="198100"/>
    <n v="321300"/>
    <n v="0.02"/>
    <n v="6426"/>
    <n v="314874"/>
    <n v="116774"/>
    <x v="2"/>
    <s v="Standard"/>
    <s v="Delivered"/>
    <n v="0.37085945489306832"/>
  </r>
  <r>
    <s v="ORD00445"/>
    <x v="47"/>
    <s v="CUST1186"/>
    <s v="Precious Afolabi"/>
    <x v="0"/>
    <s v="Ilorin"/>
    <s v="Kwara"/>
    <x v="0"/>
    <x v="8"/>
    <s v="Accessories"/>
    <n v="1"/>
    <n v="91600"/>
    <n v="51000"/>
    <n v="91600"/>
    <n v="0.02"/>
    <n v="1832"/>
    <n v="89768"/>
    <n v="38768"/>
    <x v="2"/>
    <s v="Standard"/>
    <s v="Pending"/>
    <n v="0.43186881739595401"/>
  </r>
  <r>
    <s v="ORD00488"/>
    <x v="47"/>
    <s v="CUST1198"/>
    <s v="Daniel Yusuf"/>
    <x v="1"/>
    <s v="Kano"/>
    <s v="Kano"/>
    <x v="4"/>
    <x v="4"/>
    <s v="Accessories"/>
    <n v="2"/>
    <n v="46700"/>
    <n v="54600"/>
    <n v="93400"/>
    <n v="0"/>
    <n v="0"/>
    <n v="93400"/>
    <n v="38800"/>
    <x v="4"/>
    <s v="Pickup"/>
    <s v="Delivered"/>
    <n v="0.41541755888650972"/>
  </r>
  <r>
    <s v="ORD00428"/>
    <x v="48"/>
    <s v="CUST1125"/>
    <s v="Michael Eze"/>
    <x v="0"/>
    <s v="Abeokuta"/>
    <s v="Ogun"/>
    <x v="2"/>
    <x v="3"/>
    <s v="Accessories"/>
    <n v="3"/>
    <n v="68800"/>
    <n v="124500"/>
    <n v="206400"/>
    <n v="0.05"/>
    <n v="10320"/>
    <n v="196080"/>
    <n v="71580"/>
    <x v="1"/>
    <s v="Pickup"/>
    <s v="Delivered"/>
    <n v="0.3650550795593635"/>
  </r>
  <r>
    <s v="ORD00083"/>
    <x v="49"/>
    <s v="CUST1201"/>
    <s v="Janet Nwosu"/>
    <x v="0"/>
    <s v="Lagos"/>
    <s v="Lagos"/>
    <x v="2"/>
    <x v="7"/>
    <s v="Office Equipment"/>
    <n v="6"/>
    <n v="225300"/>
    <n v="875400"/>
    <n v="1351800"/>
    <n v="0.05"/>
    <n v="67590"/>
    <n v="1284210"/>
    <n v="408810"/>
    <x v="4"/>
    <s v="Express"/>
    <s v="Delivered"/>
    <n v="0.31833578620319108"/>
  </r>
  <r>
    <s v="ORD00258"/>
    <x v="49"/>
    <s v="CUST1225"/>
    <s v="Precious Ibrahim"/>
    <x v="1"/>
    <s v="Ikeja"/>
    <s v="Lagos"/>
    <x v="2"/>
    <x v="5"/>
    <s v="Furniture"/>
    <n v="6"/>
    <n v="184100"/>
    <n v="762000"/>
    <n v="1104600"/>
    <n v="0"/>
    <n v="0"/>
    <n v="1104600"/>
    <n v="342600"/>
    <x v="2"/>
    <s v="Express"/>
    <s v="Delivered"/>
    <n v="0.31015752308527972"/>
  </r>
  <r>
    <s v="ORD00261"/>
    <x v="49"/>
    <s v="CUST1155"/>
    <s v="Tunde Nwosu"/>
    <x v="0"/>
    <s v="Abeokuta"/>
    <s v="Ogun"/>
    <x v="2"/>
    <x v="3"/>
    <s v="Accessories"/>
    <n v="3"/>
    <n v="60700"/>
    <n v="129000"/>
    <n v="182100"/>
    <n v="0.08"/>
    <n v="14568"/>
    <n v="167532"/>
    <n v="38532"/>
    <x v="4"/>
    <s v="Express"/>
    <s v="Delivered"/>
    <n v="0.22999785115679389"/>
  </r>
  <r>
    <s v="ORD00264"/>
    <x v="49"/>
    <s v="CUST1134"/>
    <s v="Mary Johnson"/>
    <x v="1"/>
    <s v="Lagos"/>
    <s v="Lagos"/>
    <x v="2"/>
    <x v="5"/>
    <s v="Furniture"/>
    <n v="7"/>
    <n v="186900"/>
    <n v="876400"/>
    <n v="1308300"/>
    <n v="0"/>
    <n v="0"/>
    <n v="1308300"/>
    <n v="431900"/>
    <x v="2"/>
    <s v="Pickup"/>
    <s v="Delivered"/>
    <n v="0.33012306046013912"/>
  </r>
  <r>
    <s v="ORD00294"/>
    <x v="49"/>
    <s v="CUST1163"/>
    <s v="Tunde Garba"/>
    <x v="1"/>
    <s v="Ilorin"/>
    <s v="Kwara"/>
    <x v="0"/>
    <x v="4"/>
    <s v="Accessories"/>
    <n v="7"/>
    <n v="46300"/>
    <n v="193900"/>
    <n v="324100"/>
    <n v="0.05"/>
    <n v="16205"/>
    <n v="307895"/>
    <n v="113995"/>
    <x v="4"/>
    <s v="Express"/>
    <s v="Pending"/>
    <n v="0.37023985449585078"/>
  </r>
  <r>
    <s v="ORD00217"/>
    <x v="50"/>
    <s v="CUST1010"/>
    <s v="Esther Williams"/>
    <x v="0"/>
    <s v="Benin City"/>
    <s v="Edo"/>
    <x v="1"/>
    <x v="5"/>
    <s v="Furniture"/>
    <n v="3"/>
    <n v="184300"/>
    <n v="363600"/>
    <n v="552900"/>
    <n v="0.08"/>
    <n v="44232"/>
    <n v="508668"/>
    <n v="145068"/>
    <x v="4"/>
    <s v="Standard"/>
    <s v="Delivered"/>
    <n v="0.2851919129962962"/>
  </r>
  <r>
    <s v="ORD00165"/>
    <x v="51"/>
    <s v="CUST1103"/>
    <s v="John Ojo"/>
    <x v="1"/>
    <s v="Abeokuta"/>
    <s v="Ogun"/>
    <x v="2"/>
    <x v="4"/>
    <s v="Accessories"/>
    <n v="4"/>
    <n v="47100"/>
    <n v="108400"/>
    <n v="188400"/>
    <n v="0"/>
    <n v="0"/>
    <n v="188400"/>
    <n v="80000"/>
    <x v="4"/>
    <s v="Pickup"/>
    <s v="Delivered"/>
    <n v="0.42462845010615707"/>
  </r>
  <r>
    <s v="ORD00290"/>
    <x v="51"/>
    <s v="CUST1021"/>
    <s v="Michael Bello"/>
    <x v="1"/>
    <s v="Ilorin"/>
    <s v="Kwara"/>
    <x v="0"/>
    <x v="5"/>
    <s v="Furniture"/>
    <n v="8"/>
    <n v="178700"/>
    <n v="1013600"/>
    <n v="1429600"/>
    <n v="0.05"/>
    <n v="71480"/>
    <n v="1358120"/>
    <n v="344520"/>
    <x v="4"/>
    <s v="Pickup"/>
    <s v="Delivered"/>
    <n v="0.25367419668365088"/>
  </r>
  <r>
    <s v="ORD00378"/>
    <x v="51"/>
    <s v="CUST1142"/>
    <s v="Chinedu Williams"/>
    <x v="1"/>
    <s v="Abuja"/>
    <s v="FCT"/>
    <x v="0"/>
    <x v="0"/>
    <s v="Electronics"/>
    <n v="2"/>
    <n v="414300"/>
    <n v="691800"/>
    <n v="828600"/>
    <n v="0"/>
    <n v="0"/>
    <n v="828600"/>
    <n v="136800"/>
    <x v="4"/>
    <s v="Standard"/>
    <s v="Delivered"/>
    <n v="0.16509775524981901"/>
  </r>
  <r>
    <s v="ORD00477"/>
    <x v="51"/>
    <s v="CUST1210"/>
    <s v="Chinedu Johnson"/>
    <x v="0"/>
    <s v="Onitsha"/>
    <s v="Anambra"/>
    <x v="3"/>
    <x v="10"/>
    <s v="Electronics"/>
    <n v="2"/>
    <n v="284200"/>
    <n v="438800"/>
    <n v="568400"/>
    <n v="0"/>
    <n v="0"/>
    <n v="568400"/>
    <n v="129600"/>
    <x v="0"/>
    <s v="Pickup"/>
    <s v="Delivered"/>
    <n v="0.22800844475721321"/>
  </r>
  <r>
    <s v="ORD00129"/>
    <x v="52"/>
    <s v="CUST1132"/>
    <s v="Mary Johnson"/>
    <x v="0"/>
    <s v="Kano"/>
    <s v="Kano"/>
    <x v="4"/>
    <x v="11"/>
    <s v="Furniture"/>
    <n v="3"/>
    <n v="243100"/>
    <n v="478800"/>
    <n v="729300"/>
    <n v="0.05"/>
    <n v="36465"/>
    <n v="692835"/>
    <n v="214035"/>
    <x v="0"/>
    <s v="Standard"/>
    <s v="Delivered"/>
    <n v="0.30892636774989718"/>
  </r>
  <r>
    <s v="ORD00133"/>
    <x v="52"/>
    <s v="CUST1185"/>
    <s v="Chinedu Okafor"/>
    <x v="0"/>
    <s v="Benin City"/>
    <s v="Edo"/>
    <x v="1"/>
    <x v="0"/>
    <s v="Electronics"/>
    <n v="7"/>
    <n v="401900"/>
    <n v="2289700"/>
    <n v="2813300"/>
    <n v="0.05"/>
    <n v="140665"/>
    <n v="2672635"/>
    <n v="382935"/>
    <x v="4"/>
    <s v="Standard"/>
    <s v="Delivered"/>
    <n v="0.14327994656958401"/>
  </r>
  <r>
    <s v="ORD00285"/>
    <x v="52"/>
    <s v="CUST1230"/>
    <s v="Sarah Adebayo"/>
    <x v="0"/>
    <s v="Onitsha"/>
    <s v="Anambra"/>
    <x v="3"/>
    <x v="2"/>
    <s v="Office Equipment"/>
    <n v="8"/>
    <n v="152300"/>
    <n v="896800"/>
    <n v="1218400"/>
    <n v="0.05"/>
    <n v="60920"/>
    <n v="1157480"/>
    <n v="260680"/>
    <x v="3"/>
    <s v="Express"/>
    <s v="Delivered"/>
    <n v="0.22521339461588971"/>
  </r>
  <r>
    <s v="ORD00053"/>
    <x v="53"/>
    <s v="CUST1216"/>
    <s v="Chinedu Yusuf"/>
    <x v="1"/>
    <s v="Abeokuta"/>
    <s v="Ogun"/>
    <x v="2"/>
    <x v="9"/>
    <s v="Furniture"/>
    <n v="7"/>
    <n v="120700"/>
    <n v="564200"/>
    <n v="844900"/>
    <n v="0"/>
    <n v="0"/>
    <n v="844900"/>
    <n v="280700"/>
    <x v="0"/>
    <s v="Standard"/>
    <s v="Delivered"/>
    <n v="0.33222866611433299"/>
  </r>
  <r>
    <s v="ORD00233"/>
    <x v="53"/>
    <s v="CUST1202"/>
    <s v="Oluwaseun Yusuf"/>
    <x v="0"/>
    <s v="Abuja"/>
    <s v="FCT"/>
    <x v="0"/>
    <x v="9"/>
    <s v="Furniture"/>
    <n v="5"/>
    <n v="128900"/>
    <n v="394000"/>
    <n v="644500"/>
    <n v="0.08"/>
    <n v="51560"/>
    <n v="592940"/>
    <n v="198940"/>
    <x v="4"/>
    <s v="Pickup"/>
    <s v="Delivered"/>
    <n v="0.33551455459237017"/>
  </r>
  <r>
    <s v="ORD00418"/>
    <x v="53"/>
    <s v="CUST1016"/>
    <s v="Tunde Adebayo"/>
    <x v="0"/>
    <s v="Abeokuta"/>
    <s v="Ogun"/>
    <x v="2"/>
    <x v="9"/>
    <s v="Furniture"/>
    <n v="3"/>
    <n v="128400"/>
    <n v="234000"/>
    <n v="385200"/>
    <n v="0.05"/>
    <n v="19260"/>
    <n v="365940"/>
    <n v="131940"/>
    <x v="2"/>
    <s v="Standard"/>
    <s v="Pending"/>
    <n v="0.36055090998524347"/>
  </r>
  <r>
    <s v="ORD00392"/>
    <x v="54"/>
    <s v="CUST1070"/>
    <s v="Peter Udo"/>
    <x v="0"/>
    <s v="Kano"/>
    <s v="Kano"/>
    <x v="4"/>
    <x v="0"/>
    <s v="Electronics"/>
    <n v="8"/>
    <n v="395800"/>
    <n v="2704000"/>
    <n v="3166400"/>
    <n v="0"/>
    <n v="0"/>
    <n v="3166400"/>
    <n v="462400"/>
    <x v="2"/>
    <s v="Standard"/>
    <s v="Delivered"/>
    <n v="0.14603335017685701"/>
  </r>
  <r>
    <s v="ORD00078"/>
    <x v="55"/>
    <s v="CUST1202"/>
    <s v="Oluwaseun Nwosu"/>
    <x v="0"/>
    <s v="Onitsha"/>
    <s v="Anambra"/>
    <x v="3"/>
    <x v="3"/>
    <s v="Accessories"/>
    <n v="2"/>
    <n v="68800"/>
    <n v="82200"/>
    <n v="137600"/>
    <n v="0.1"/>
    <n v="13760"/>
    <n v="123840"/>
    <n v="41640"/>
    <x v="2"/>
    <s v="Express"/>
    <s v="Delivered"/>
    <n v="0.33624031007751942"/>
  </r>
  <r>
    <s v="ORD00085"/>
    <x v="55"/>
    <s v="CUST1215"/>
    <s v="Favour Ojo"/>
    <x v="0"/>
    <s v="Lagos"/>
    <s v="Lagos"/>
    <x v="2"/>
    <x v="11"/>
    <s v="Furniture"/>
    <n v="7"/>
    <n v="224100"/>
    <n v="1197000"/>
    <n v="1568700"/>
    <n v="0.05"/>
    <n v="78435"/>
    <n v="1490265"/>
    <n v="293265"/>
    <x v="2"/>
    <s v="Standard"/>
    <s v="Delivered"/>
    <n v="0.19678714859437749"/>
  </r>
  <r>
    <s v="ORD00116"/>
    <x v="56"/>
    <s v="CUST1130"/>
    <s v="Ibrahim Ibrahim"/>
    <x v="0"/>
    <s v="Onitsha"/>
    <s v="Anambra"/>
    <x v="3"/>
    <x v="6"/>
    <s v="Electronics"/>
    <n v="6"/>
    <n v="608100"/>
    <n v="3096000"/>
    <n v="3648600"/>
    <n v="0.02"/>
    <n v="72972"/>
    <n v="3575628"/>
    <n v="479628"/>
    <x v="2"/>
    <s v="Standard"/>
    <s v="Delivered"/>
    <n v="0.13413811503881279"/>
  </r>
  <r>
    <s v="ORD00169"/>
    <x v="56"/>
    <s v="CUST1082"/>
    <s v="Mary Okoro"/>
    <x v="1"/>
    <s v="Abuja"/>
    <s v="FCT"/>
    <x v="0"/>
    <x v="3"/>
    <s v="Accessories"/>
    <n v="1"/>
    <n v="67900"/>
    <n v="40500"/>
    <n v="67900"/>
    <n v="0.02"/>
    <n v="1358"/>
    <n v="66542"/>
    <n v="26042"/>
    <x v="3"/>
    <s v="Standard"/>
    <s v="Delivered"/>
    <n v="0.39136184665324159"/>
  </r>
  <r>
    <s v="ORD00232"/>
    <x v="56"/>
    <s v="CUST1052"/>
    <s v="John Obi"/>
    <x v="1"/>
    <s v="Onitsha"/>
    <s v="Anambra"/>
    <x v="3"/>
    <x v="9"/>
    <s v="Furniture"/>
    <n v="7"/>
    <n v="111600"/>
    <n v="554400"/>
    <n v="781200"/>
    <n v="0.05"/>
    <n v="39060"/>
    <n v="742140"/>
    <n v="187740"/>
    <x v="2"/>
    <s v="Standard"/>
    <s v="Pending"/>
    <n v="0.25297113752122241"/>
  </r>
  <r>
    <s v="ORD00296"/>
    <x v="56"/>
    <s v="CUST1131"/>
    <s v="Favour Williams"/>
    <x v="1"/>
    <s v="Ilorin"/>
    <s v="Kwara"/>
    <x v="0"/>
    <x v="0"/>
    <s v="Electronics"/>
    <n v="4"/>
    <n v="390100"/>
    <n v="1387600"/>
    <n v="1560400"/>
    <n v="0"/>
    <n v="0"/>
    <n v="1560400"/>
    <n v="172800"/>
    <x v="0"/>
    <s v="Standard"/>
    <s v="Delivered"/>
    <n v="0.11074083568315821"/>
  </r>
  <r>
    <s v="ORD00176"/>
    <x v="57"/>
    <s v="CUST1072"/>
    <s v="John Balogun"/>
    <x v="1"/>
    <s v="Ilorin"/>
    <s v="Kwara"/>
    <x v="0"/>
    <x v="4"/>
    <s v="Accessories"/>
    <n v="8"/>
    <n v="42700"/>
    <n v="216800"/>
    <n v="341600"/>
    <n v="0"/>
    <n v="0"/>
    <n v="341600"/>
    <n v="124800"/>
    <x v="1"/>
    <s v="Standard"/>
    <s v="Delivered"/>
    <n v="0.36533957845433263"/>
  </r>
  <r>
    <s v="ORD00287"/>
    <x v="58"/>
    <s v="CUST1166"/>
    <s v="Oluwaseun Udo"/>
    <x v="0"/>
    <s v="Benin City"/>
    <s v="Edo"/>
    <x v="1"/>
    <x v="7"/>
    <s v="Office Equipment"/>
    <n v="3"/>
    <n v="206800"/>
    <n v="432600"/>
    <n v="620400"/>
    <n v="0"/>
    <n v="0"/>
    <n v="620400"/>
    <n v="187800"/>
    <x v="2"/>
    <s v="Standard"/>
    <s v="Delivered"/>
    <n v="0.30270793036750482"/>
  </r>
  <r>
    <s v="ORD00001"/>
    <x v="59"/>
    <s v="CUST1117"/>
    <s v="Esther Williams"/>
    <x v="0"/>
    <s v="Ilorin"/>
    <s v="Kwara"/>
    <x v="0"/>
    <x v="3"/>
    <s v="Accessories"/>
    <n v="8"/>
    <n v="66000"/>
    <n v="326400"/>
    <n v="528000"/>
    <n v="0"/>
    <n v="0"/>
    <n v="528000"/>
    <n v="201600"/>
    <x v="0"/>
    <s v="Pickup"/>
    <s v="Delivered"/>
    <n v="0.38181818181818178"/>
  </r>
  <r>
    <s v="ORD00343"/>
    <x v="60"/>
    <s v="CUST1066"/>
    <s v="Michael Williams"/>
    <x v="1"/>
    <s v="Port Harcourt"/>
    <s v="Rivers"/>
    <x v="1"/>
    <x v="5"/>
    <s v="Furniture"/>
    <n v="1"/>
    <n v="190100"/>
    <n v="120400"/>
    <n v="190100"/>
    <n v="0.05"/>
    <n v="9505"/>
    <n v="180595"/>
    <n v="60195"/>
    <x v="0"/>
    <s v="Express"/>
    <s v="Delivered"/>
    <n v="0.33331487582712699"/>
  </r>
  <r>
    <s v="ORD00032"/>
    <x v="61"/>
    <s v="CUST1008"/>
    <s v="Kemi Adebayo"/>
    <x v="1"/>
    <s v="Kano"/>
    <s v="Kano"/>
    <x v="4"/>
    <x v="0"/>
    <s v="Electronics"/>
    <n v="7"/>
    <n v="411800"/>
    <n v="2258200"/>
    <n v="2882600"/>
    <n v="0.05"/>
    <n v="144130"/>
    <n v="2738470"/>
    <n v="480270"/>
    <x v="2"/>
    <s v="Express"/>
    <s v="Delivered"/>
    <n v="0.17537895248076479"/>
  </r>
  <r>
    <s v="ORD00042"/>
    <x v="61"/>
    <s v="CUST1136"/>
    <s v="Sarah Bello"/>
    <x v="0"/>
    <s v="Enugu"/>
    <s v="Enugu"/>
    <x v="3"/>
    <x v="1"/>
    <s v="Accessories"/>
    <n v="6"/>
    <n v="34800"/>
    <n v="127200"/>
    <n v="208800"/>
    <n v="0"/>
    <n v="0"/>
    <n v="208800"/>
    <n v="81600"/>
    <x v="1"/>
    <s v="Express"/>
    <s v="Delivered"/>
    <n v="0.39080459770114939"/>
  </r>
  <r>
    <s v="ORD00193"/>
    <x v="61"/>
    <s v="CUST1039"/>
    <s v="Samuel Eze"/>
    <x v="1"/>
    <s v="Port Harcourt"/>
    <s v="Rivers"/>
    <x v="1"/>
    <x v="0"/>
    <s v="Electronics"/>
    <n v="1"/>
    <n v="386900"/>
    <n v="327500"/>
    <n v="386900"/>
    <n v="0"/>
    <n v="0"/>
    <n v="386900"/>
    <n v="59400"/>
    <x v="1"/>
    <s v="Standard"/>
    <s v="Delivered"/>
    <n v="0.15352804342207291"/>
  </r>
  <r>
    <s v="ORD00334"/>
    <x v="61"/>
    <s v="CUST1208"/>
    <s v="Esther Balogun"/>
    <x v="0"/>
    <s v="Ilorin"/>
    <s v="Kwara"/>
    <x v="0"/>
    <x v="0"/>
    <s v="Electronics"/>
    <n v="1"/>
    <n v="401300"/>
    <n v="330100"/>
    <n v="401300"/>
    <n v="0"/>
    <n v="0"/>
    <n v="401300"/>
    <n v="71200"/>
    <x v="0"/>
    <s v="Standard"/>
    <s v="Delivered"/>
    <n v="0.17742337403438821"/>
  </r>
  <r>
    <s v="ORD00051"/>
    <x v="62"/>
    <s v="CUST1170"/>
    <s v="Grace Adeyemi"/>
    <x v="0"/>
    <s v="Ilorin"/>
    <s v="Kwara"/>
    <x v="0"/>
    <x v="7"/>
    <s v="Office Equipment"/>
    <n v="5"/>
    <n v="225900"/>
    <n v="756000"/>
    <n v="1129500"/>
    <n v="0"/>
    <n v="0"/>
    <n v="1129500"/>
    <n v="373500"/>
    <x v="2"/>
    <s v="Pickup"/>
    <s v="Delivered"/>
    <n v="0.33067729083665343"/>
  </r>
  <r>
    <s v="ORD00413"/>
    <x v="62"/>
    <s v="CUST1177"/>
    <s v="Sarah Okafor"/>
    <x v="1"/>
    <s v="Benin City"/>
    <s v="Edo"/>
    <x v="1"/>
    <x v="4"/>
    <s v="Accessories"/>
    <n v="7"/>
    <n v="46800"/>
    <n v="202300"/>
    <n v="327600"/>
    <n v="0"/>
    <n v="0"/>
    <n v="327600"/>
    <n v="125300"/>
    <x v="1"/>
    <s v="Standard"/>
    <s v="Delivered"/>
    <n v="0.38247863247863251"/>
  </r>
  <r>
    <s v="ORD00192"/>
    <x v="63"/>
    <s v="CUST1109"/>
    <s v="Samuel Okafor"/>
    <x v="1"/>
    <s v="Lagos"/>
    <s v="Lagos"/>
    <x v="2"/>
    <x v="10"/>
    <s v="Electronics"/>
    <n v="5"/>
    <n v="278800"/>
    <n v="1036000"/>
    <n v="1394000"/>
    <n v="0"/>
    <n v="0"/>
    <n v="1394000"/>
    <n v="358000"/>
    <x v="4"/>
    <s v="Standard"/>
    <s v="Delivered"/>
    <n v="0.25681492109038739"/>
  </r>
  <r>
    <s v="ORD00411"/>
    <x v="64"/>
    <s v="CUST1168"/>
    <s v="Mary Udo"/>
    <x v="0"/>
    <s v="Onitsha"/>
    <s v="Anambra"/>
    <x v="3"/>
    <x v="6"/>
    <s v="Electronics"/>
    <n v="4"/>
    <n v="610800"/>
    <n v="2048000"/>
    <n v="2443200"/>
    <n v="0.08"/>
    <n v="195456"/>
    <n v="2247744"/>
    <n v="199744"/>
    <x v="4"/>
    <s v="Standard"/>
    <s v="Delivered"/>
    <n v="8.8864212294638534E-2"/>
  </r>
  <r>
    <s v="ORD00050"/>
    <x v="65"/>
    <s v="CUST1203"/>
    <s v="Precious Williams"/>
    <x v="1"/>
    <s v="Ilorin"/>
    <s v="Kwara"/>
    <x v="0"/>
    <x v="4"/>
    <s v="Accessories"/>
    <n v="3"/>
    <n v="43100"/>
    <n v="81000"/>
    <n v="129300"/>
    <n v="0"/>
    <n v="0"/>
    <n v="129300"/>
    <n v="48300"/>
    <x v="4"/>
    <s v="Standard"/>
    <s v="Delivered"/>
    <n v="0.37354988399071931"/>
  </r>
  <r>
    <s v="ORD00030"/>
    <x v="66"/>
    <s v="CUST1001"/>
    <s v="Favour Yusuf"/>
    <x v="1"/>
    <s v="Port Harcourt"/>
    <s v="Rivers"/>
    <x v="1"/>
    <x v="6"/>
    <s v="Electronics"/>
    <n v="5"/>
    <n v="690200"/>
    <n v="2550500"/>
    <n v="3451000"/>
    <n v="0"/>
    <n v="0"/>
    <n v="3451000"/>
    <n v="900500"/>
    <x v="0"/>
    <s v="Express"/>
    <s v="Pending"/>
    <n v="0.26093885830194152"/>
  </r>
  <r>
    <s v="ORD00248"/>
    <x v="66"/>
    <s v="CUST1167"/>
    <s v="Grace Adeyemi"/>
    <x v="1"/>
    <s v="Onitsha"/>
    <s v="Anambra"/>
    <x v="3"/>
    <x v="2"/>
    <s v="Office Equipment"/>
    <n v="3"/>
    <n v="156700"/>
    <n v="347700"/>
    <n v="470100"/>
    <n v="0.05"/>
    <n v="23505"/>
    <n v="446595"/>
    <n v="98895"/>
    <x v="0"/>
    <s v="Pickup"/>
    <s v="Delivered"/>
    <n v="0.221442246330568"/>
  </r>
  <r>
    <s v="ORD00466"/>
    <x v="67"/>
    <s v="CUST1102"/>
    <s v="Mary Adeyemi"/>
    <x v="0"/>
    <s v="Ibadan"/>
    <s v="Oyo"/>
    <x v="2"/>
    <x v="5"/>
    <s v="Furniture"/>
    <n v="7"/>
    <n v="194300"/>
    <n v="858200"/>
    <n v="1360100"/>
    <n v="0"/>
    <n v="0"/>
    <n v="1360100"/>
    <n v="501900"/>
    <x v="1"/>
    <s v="Pickup"/>
    <s v="Pending"/>
    <n v="0.36901698404529082"/>
  </r>
  <r>
    <s v="ORD00308"/>
    <x v="68"/>
    <s v="CUST1208"/>
    <s v="John Balogun"/>
    <x v="0"/>
    <s v="Lagos"/>
    <s v="Lagos"/>
    <x v="2"/>
    <x v="6"/>
    <s v="Electronics"/>
    <n v="1"/>
    <n v="643600"/>
    <n v="534100"/>
    <n v="643600"/>
    <n v="0"/>
    <n v="0"/>
    <n v="643600"/>
    <n v="109500"/>
    <x v="3"/>
    <s v="Pickup"/>
    <s v="Delivered"/>
    <n v="0.17013673088875081"/>
  </r>
  <r>
    <s v="ORD00018"/>
    <x v="69"/>
    <s v="CUST1153"/>
    <s v="Sarah Afolabi"/>
    <x v="0"/>
    <s v="Enugu"/>
    <s v="Enugu"/>
    <x v="3"/>
    <x v="0"/>
    <s v="Electronics"/>
    <n v="4"/>
    <n v="446800"/>
    <n v="1351600"/>
    <n v="1787200"/>
    <n v="0"/>
    <n v="0"/>
    <n v="1787200"/>
    <n v="435600"/>
    <x v="4"/>
    <s v="Express"/>
    <s v="Delivered"/>
    <n v="0.2437332139659803"/>
  </r>
  <r>
    <s v="ORD00021"/>
    <x v="69"/>
    <s v="CUST1124"/>
    <s v="John Bello"/>
    <x v="0"/>
    <s v="Lagos"/>
    <s v="Lagos"/>
    <x v="2"/>
    <x v="6"/>
    <s v="Electronics"/>
    <n v="8"/>
    <n v="616400"/>
    <n v="4306400"/>
    <n v="4931200"/>
    <n v="0.1"/>
    <n v="493120"/>
    <n v="4438080"/>
    <n v="131680"/>
    <x v="2"/>
    <s v="Pickup"/>
    <s v="Pending"/>
    <n v="2.9670488139015069E-2"/>
  </r>
  <r>
    <s v="ORD00102"/>
    <x v="69"/>
    <s v="CUST1141"/>
    <s v="John Johnson"/>
    <x v="0"/>
    <s v="Ilorin"/>
    <s v="Kwara"/>
    <x v="0"/>
    <x v="2"/>
    <s v="Office Equipment"/>
    <n v="2"/>
    <n v="147200"/>
    <n v="217800"/>
    <n v="294400"/>
    <n v="0.02"/>
    <n v="5888"/>
    <n v="288512"/>
    <n v="70712"/>
    <x v="3"/>
    <s v="Standard"/>
    <s v="Pending"/>
    <n v="0.24509205856255539"/>
  </r>
  <r>
    <s v="ORD00115"/>
    <x v="70"/>
    <s v="CUST1240"/>
    <s v="Kemi Musa"/>
    <x v="1"/>
    <s v="Ibadan"/>
    <s v="Oyo"/>
    <x v="2"/>
    <x v="3"/>
    <s v="Accessories"/>
    <n v="5"/>
    <n v="64600"/>
    <n v="215500"/>
    <n v="323000"/>
    <n v="0"/>
    <n v="0"/>
    <n v="323000"/>
    <n v="107500"/>
    <x v="2"/>
    <s v="Standard"/>
    <s v="Delivered"/>
    <n v="0.33281733746130032"/>
  </r>
  <r>
    <s v="ORD00220"/>
    <x v="70"/>
    <s v="CUST1082"/>
    <s v="Peter Lawal"/>
    <x v="0"/>
    <s v="Kano"/>
    <s v="Kano"/>
    <x v="4"/>
    <x v="0"/>
    <s v="Electronics"/>
    <n v="3"/>
    <n v="442000"/>
    <n v="975300"/>
    <n v="1326000"/>
    <n v="0.02"/>
    <n v="26520"/>
    <n v="1299480"/>
    <n v="324180"/>
    <x v="1"/>
    <s v="Standard"/>
    <s v="Pending"/>
    <n v="0.24946901837658139"/>
  </r>
  <r>
    <s v="ORD00069"/>
    <x v="71"/>
    <s v="CUST1149"/>
    <s v="Oluwaseun Okoro"/>
    <x v="1"/>
    <s v="Ibadan"/>
    <s v="Oyo"/>
    <x v="2"/>
    <x v="6"/>
    <s v="Electronics"/>
    <n v="5"/>
    <n v="608800"/>
    <n v="2671000"/>
    <n v="3044000"/>
    <n v="0.08"/>
    <n v="243520"/>
    <n v="2800480"/>
    <n v="129480"/>
    <x v="1"/>
    <s v="Pickup"/>
    <s v="Delivered"/>
    <n v="4.6234931154659202E-2"/>
  </r>
  <r>
    <s v="ORD00107"/>
    <x v="72"/>
    <s v="CUST1169"/>
    <s v="Janet Obi"/>
    <x v="0"/>
    <s v="Ikeja"/>
    <s v="Lagos"/>
    <x v="2"/>
    <x v="11"/>
    <s v="Furniture"/>
    <n v="6"/>
    <n v="258200"/>
    <n v="1007400"/>
    <n v="1549200"/>
    <n v="0.05"/>
    <n v="77460"/>
    <n v="1471740"/>
    <n v="464340"/>
    <x v="0"/>
    <s v="Standard"/>
    <s v="Delivered"/>
    <n v="0.31550409719108002"/>
  </r>
  <r>
    <s v="ORD00134"/>
    <x v="72"/>
    <s v="CUST1042"/>
    <s v="Ibrahim Yusuf"/>
    <x v="1"/>
    <s v="Onitsha"/>
    <s v="Anambra"/>
    <x v="3"/>
    <x v="4"/>
    <s v="Accessories"/>
    <n v="1"/>
    <n v="41500"/>
    <n v="27600"/>
    <n v="41500"/>
    <n v="0.05"/>
    <n v="2075"/>
    <n v="39425"/>
    <n v="11825"/>
    <x v="0"/>
    <s v="Pickup"/>
    <s v="Delivered"/>
    <n v="0.29993658845909948"/>
  </r>
  <r>
    <s v="ORD00226"/>
    <x v="72"/>
    <s v="CUST1017"/>
    <s v="Michael Garba"/>
    <x v="1"/>
    <s v="Ikeja"/>
    <s v="Lagos"/>
    <x v="2"/>
    <x v="7"/>
    <s v="Office Equipment"/>
    <n v="6"/>
    <n v="217000"/>
    <n v="932400"/>
    <n v="1302000"/>
    <n v="0"/>
    <n v="0"/>
    <n v="1302000"/>
    <n v="369600"/>
    <x v="2"/>
    <s v="Pickup"/>
    <s v="Delivered"/>
    <n v="0.28387096774193549"/>
  </r>
  <r>
    <s v="ORD00087"/>
    <x v="73"/>
    <s v="CUST1017"/>
    <s v="Oluwaseun Okafor"/>
    <x v="0"/>
    <s v="Ilorin"/>
    <s v="Kwara"/>
    <x v="0"/>
    <x v="0"/>
    <s v="Electronics"/>
    <n v="7"/>
    <n v="439800"/>
    <n v="2391200"/>
    <n v="3078600"/>
    <n v="0"/>
    <n v="0"/>
    <n v="3078600"/>
    <n v="687400"/>
    <x v="2"/>
    <s v="Pickup"/>
    <s v="Delivered"/>
    <n v="0.22328331059572529"/>
  </r>
  <r>
    <s v="ORD00309"/>
    <x v="73"/>
    <s v="CUST1171"/>
    <s v="Samuel Adeyemi"/>
    <x v="1"/>
    <s v="Ilorin"/>
    <s v="Kwara"/>
    <x v="0"/>
    <x v="0"/>
    <s v="Electronics"/>
    <n v="6"/>
    <n v="433100"/>
    <n v="2028000"/>
    <n v="2598600"/>
    <n v="0"/>
    <n v="0"/>
    <n v="2598600"/>
    <n v="570600"/>
    <x v="4"/>
    <s v="Standard"/>
    <s v="Delivered"/>
    <n v="0.21957977372431309"/>
  </r>
  <r>
    <s v="ORD00467"/>
    <x v="73"/>
    <s v="CUST1129"/>
    <s v="Mary Ibrahim"/>
    <x v="0"/>
    <s v="Ilorin"/>
    <s v="Kwara"/>
    <x v="0"/>
    <x v="6"/>
    <s v="Electronics"/>
    <n v="7"/>
    <n v="665200"/>
    <n v="3682700"/>
    <n v="4656400"/>
    <n v="0"/>
    <n v="0"/>
    <n v="4656400"/>
    <n v="973700"/>
    <x v="0"/>
    <s v="Standard"/>
    <s v="Delivered"/>
    <n v="0.2091100420926037"/>
  </r>
  <r>
    <s v="ORD00229"/>
    <x v="74"/>
    <s v="CUST1195"/>
    <s v="John Adebayo"/>
    <x v="0"/>
    <s v="Enugu"/>
    <s v="Enugu"/>
    <x v="3"/>
    <x v="8"/>
    <s v="Accessories"/>
    <n v="1"/>
    <n v="86400"/>
    <n v="51100"/>
    <n v="86400"/>
    <n v="0"/>
    <n v="0"/>
    <n v="86400"/>
    <n v="35300"/>
    <x v="2"/>
    <s v="Standard"/>
    <s v="Delivered"/>
    <n v="0.40856481481481483"/>
  </r>
  <r>
    <s v="ORD00435"/>
    <x v="75"/>
    <s v="CUST1200"/>
    <s v="Favour Lawal"/>
    <x v="1"/>
    <s v="Abuja"/>
    <s v="FCT"/>
    <x v="0"/>
    <x v="4"/>
    <s v="Accessories"/>
    <n v="6"/>
    <n v="42100"/>
    <n v="166800"/>
    <n v="252600"/>
    <n v="0.05"/>
    <n v="12630"/>
    <n v="239970"/>
    <n v="73170"/>
    <x v="3"/>
    <s v="Express"/>
    <s v="Delivered"/>
    <n v="0.30491311413926742"/>
  </r>
  <r>
    <s v="ORD00109"/>
    <x v="76"/>
    <s v="CUST1119"/>
    <s v="Michael Nwosu"/>
    <x v="0"/>
    <s v="Warri"/>
    <s v="Delta"/>
    <x v="1"/>
    <x v="3"/>
    <s v="Accessories"/>
    <n v="2"/>
    <n v="70000"/>
    <n v="82000"/>
    <n v="140000"/>
    <n v="0.05"/>
    <n v="7000"/>
    <n v="133000"/>
    <n v="51000"/>
    <x v="0"/>
    <s v="Pickup"/>
    <s v="Delivered"/>
    <n v="0.38345864661654128"/>
  </r>
  <r>
    <s v="ORD00299"/>
    <x v="76"/>
    <s v="CUST1181"/>
    <s v="Chinedu Ogunleye"/>
    <x v="1"/>
    <s v="Kano"/>
    <s v="Kano"/>
    <x v="4"/>
    <x v="6"/>
    <s v="Electronics"/>
    <n v="6"/>
    <n v="689000"/>
    <n v="3105600"/>
    <n v="4134000"/>
    <n v="0.1"/>
    <n v="413400"/>
    <n v="3720600"/>
    <n v="615000"/>
    <x v="2"/>
    <s v="Standard"/>
    <s v="Delivered"/>
    <n v="0.16529592001290111"/>
  </r>
  <r>
    <s v="ORD00241"/>
    <x v="77"/>
    <s v="CUST1188"/>
    <s v="Ibrahim Balogun"/>
    <x v="0"/>
    <s v="Benin City"/>
    <s v="Edo"/>
    <x v="1"/>
    <x v="1"/>
    <s v="Accessories"/>
    <n v="8"/>
    <n v="34600"/>
    <n v="168800"/>
    <n v="276800"/>
    <n v="0.02"/>
    <n v="5536"/>
    <n v="271264"/>
    <n v="102464"/>
    <x v="3"/>
    <s v="Standard"/>
    <s v="Delivered"/>
    <n v="0.377727969800637"/>
  </r>
  <r>
    <s v="ORD00269"/>
    <x v="77"/>
    <s v="CUST1035"/>
    <s v="Ibrahim Ogunleye"/>
    <x v="0"/>
    <s v="Abuja"/>
    <s v="FCT"/>
    <x v="0"/>
    <x v="3"/>
    <s v="Accessories"/>
    <n v="2"/>
    <n v="69600"/>
    <n v="86600"/>
    <n v="139200"/>
    <n v="0"/>
    <n v="0"/>
    <n v="139200"/>
    <n v="52600"/>
    <x v="4"/>
    <s v="Pickup"/>
    <s v="Delivered"/>
    <n v="0.37787356321839077"/>
  </r>
  <r>
    <s v="ORD00351"/>
    <x v="77"/>
    <s v="CUST1020"/>
    <s v="John Johnson"/>
    <x v="0"/>
    <s v="Ibadan"/>
    <s v="Oyo"/>
    <x v="2"/>
    <x v="3"/>
    <s v="Accessories"/>
    <n v="1"/>
    <n v="66400"/>
    <n v="40800"/>
    <n v="66400"/>
    <n v="0.02"/>
    <n v="1328"/>
    <n v="65072"/>
    <n v="24272"/>
    <x v="2"/>
    <s v="Express"/>
    <s v="Delivered"/>
    <n v="0.37300221293336611"/>
  </r>
  <r>
    <s v="ORD00122"/>
    <x v="78"/>
    <s v="CUST1210"/>
    <s v="Samuel Williams"/>
    <x v="0"/>
    <s v="Port Harcourt"/>
    <s v="Rivers"/>
    <x v="1"/>
    <x v="9"/>
    <s v="Furniture"/>
    <n v="5"/>
    <n v="128900"/>
    <n v="382500"/>
    <n v="644500"/>
    <n v="0.05"/>
    <n v="0"/>
    <n v="0"/>
    <n v="0"/>
    <x v="4"/>
    <s v="Standard"/>
    <s v="Cancelled"/>
    <n v="0"/>
  </r>
  <r>
    <s v="ORD00468"/>
    <x v="78"/>
    <s v="CUST1076"/>
    <s v="Esther Nwosu"/>
    <x v="1"/>
    <s v="Abuja"/>
    <s v="FCT"/>
    <x v="0"/>
    <x v="6"/>
    <s v="Electronics"/>
    <n v="5"/>
    <n v="687300"/>
    <n v="2592500"/>
    <n v="3436500"/>
    <n v="0.05"/>
    <n v="171825"/>
    <n v="3264675"/>
    <n v="672175"/>
    <x v="1"/>
    <s v="Pickup"/>
    <s v="Pending"/>
    <n v="0.2058933890816084"/>
  </r>
  <r>
    <s v="ORD00484"/>
    <x v="78"/>
    <s v="CUST1062"/>
    <s v="Kemi Ibrahim"/>
    <x v="1"/>
    <s v="Abeokuta"/>
    <s v="Ogun"/>
    <x v="2"/>
    <x v="11"/>
    <s v="Furniture"/>
    <n v="2"/>
    <n v="238400"/>
    <n v="319400"/>
    <n v="476800"/>
    <n v="0.08"/>
    <n v="38144"/>
    <n v="438656"/>
    <n v="119256"/>
    <x v="1"/>
    <s v="Standard"/>
    <s v="Pending"/>
    <n v="0.27186679311351042"/>
  </r>
  <r>
    <s v="ORD00375"/>
    <x v="79"/>
    <s v="CUST1064"/>
    <s v="Mary Obi"/>
    <x v="0"/>
    <s v="Port Harcourt"/>
    <s v="Rivers"/>
    <x v="1"/>
    <x v="9"/>
    <s v="Furniture"/>
    <n v="5"/>
    <n v="118700"/>
    <n v="378500"/>
    <n v="593500"/>
    <n v="0"/>
    <n v="0"/>
    <n v="593500"/>
    <n v="215000"/>
    <x v="2"/>
    <s v="Express"/>
    <s v="Delivered"/>
    <n v="0.36225779275484421"/>
  </r>
  <r>
    <s v="ORD00277"/>
    <x v="80"/>
    <s v="CUST1057"/>
    <s v="Samuel Yusuf"/>
    <x v="0"/>
    <s v="Enugu"/>
    <s v="Enugu"/>
    <x v="3"/>
    <x v="0"/>
    <s v="Electronics"/>
    <n v="6"/>
    <n v="418600"/>
    <n v="1959000"/>
    <n v="2511600"/>
    <n v="0.05"/>
    <n v="125580"/>
    <n v="2386020"/>
    <n v="427020"/>
    <x v="2"/>
    <s v="Pickup"/>
    <s v="Delivered"/>
    <n v="0.1789674856036412"/>
  </r>
  <r>
    <s v="ORD00307"/>
    <x v="80"/>
    <s v="CUST1143"/>
    <s v="John Garba"/>
    <x v="0"/>
    <s v="Ikeja"/>
    <s v="Lagos"/>
    <x v="2"/>
    <x v="11"/>
    <s v="Furniture"/>
    <n v="5"/>
    <n v="246700"/>
    <n v="842500"/>
    <n v="1233500"/>
    <n v="0"/>
    <n v="0"/>
    <n v="1233500"/>
    <n v="391000"/>
    <x v="2"/>
    <s v="Standard"/>
    <s v="Delivered"/>
    <n v="0.31698419132549649"/>
  </r>
  <r>
    <s v="ORD00070"/>
    <x v="81"/>
    <s v="CUST1154"/>
    <s v="John Okafor"/>
    <x v="0"/>
    <s v="Enugu"/>
    <s v="Enugu"/>
    <x v="3"/>
    <x v="8"/>
    <s v="Accessories"/>
    <n v="7"/>
    <n v="83600"/>
    <n v="350700"/>
    <n v="585200"/>
    <n v="0"/>
    <n v="0"/>
    <n v="585200"/>
    <n v="234500"/>
    <x v="2"/>
    <s v="Pickup"/>
    <s v="Delivered"/>
    <n v="0.40071770334928231"/>
  </r>
  <r>
    <s v="ORD00106"/>
    <x v="81"/>
    <s v="CUST1130"/>
    <s v="Janet Obi"/>
    <x v="0"/>
    <s v="Kano"/>
    <s v="Kano"/>
    <x v="4"/>
    <x v="5"/>
    <s v="Furniture"/>
    <n v="4"/>
    <n v="178000"/>
    <n v="488000"/>
    <n v="712000"/>
    <n v="0.02"/>
    <n v="14240"/>
    <n v="697760"/>
    <n v="209760"/>
    <x v="0"/>
    <s v="Standard"/>
    <s v="Delivered"/>
    <n v="0.300619124054116"/>
  </r>
  <r>
    <s v="ORD00171"/>
    <x v="81"/>
    <s v="CUST1196"/>
    <s v="Kemi Johnson"/>
    <x v="0"/>
    <s v="Ibadan"/>
    <s v="Oyo"/>
    <x v="2"/>
    <x v="3"/>
    <s v="Accessories"/>
    <n v="1"/>
    <n v="69600"/>
    <n v="43600"/>
    <n v="69600"/>
    <n v="0"/>
    <n v="0"/>
    <n v="69600"/>
    <n v="26000"/>
    <x v="4"/>
    <s v="Pickup"/>
    <s v="Delivered"/>
    <n v="0.37356321839080459"/>
  </r>
  <r>
    <s v="ORD00355"/>
    <x v="82"/>
    <s v="CUST1054"/>
    <s v="Yemi Okoro"/>
    <x v="0"/>
    <s v="Benin City"/>
    <s v="Edo"/>
    <x v="1"/>
    <x v="3"/>
    <s v="Accessories"/>
    <n v="5"/>
    <n v="60000"/>
    <n v="207000"/>
    <n v="300000"/>
    <n v="0"/>
    <n v="0"/>
    <n v="300000"/>
    <n v="93000"/>
    <x v="4"/>
    <s v="Standard"/>
    <s v="Delivered"/>
    <n v="0.31"/>
  </r>
  <r>
    <s v="ORD00221"/>
    <x v="83"/>
    <s v="CUST1183"/>
    <s v="Kemi Balogun"/>
    <x v="1"/>
    <s v="Benin City"/>
    <s v="Edo"/>
    <x v="1"/>
    <x v="1"/>
    <s v="Accessories"/>
    <n v="1"/>
    <n v="36000"/>
    <n v="21000"/>
    <n v="36000"/>
    <n v="0"/>
    <n v="0"/>
    <n v="36000"/>
    <n v="15000"/>
    <x v="4"/>
    <s v="Express"/>
    <s v="Delivered"/>
    <n v="0.41666666666666669"/>
  </r>
  <r>
    <s v="ORD00011"/>
    <x v="84"/>
    <s v="CUST1116"/>
    <s v="Ngozi Ogunleye"/>
    <x v="1"/>
    <s v="Abuja"/>
    <s v="FCT"/>
    <x v="0"/>
    <x v="7"/>
    <s v="Office Equipment"/>
    <n v="7"/>
    <n v="223300"/>
    <n v="1034600"/>
    <n v="1563100"/>
    <n v="0"/>
    <n v="0"/>
    <n v="1563100"/>
    <n v="528500"/>
    <x v="0"/>
    <s v="Standard"/>
    <s v="Delivered"/>
    <n v="0.33811016569637259"/>
  </r>
  <r>
    <s v="ORD00131"/>
    <x v="84"/>
    <s v="CUST1125"/>
    <s v="Kemi Williams"/>
    <x v="0"/>
    <s v="Port Harcourt"/>
    <s v="Rivers"/>
    <x v="1"/>
    <x v="5"/>
    <s v="Furniture"/>
    <n v="5"/>
    <n v="191100"/>
    <n v="611500"/>
    <n v="955500"/>
    <n v="0"/>
    <n v="0"/>
    <n v="955500"/>
    <n v="344000"/>
    <x v="4"/>
    <s v="Standard"/>
    <s v="Delivered"/>
    <n v="0.36002093144950292"/>
  </r>
  <r>
    <s v="ORD00327"/>
    <x v="85"/>
    <s v="CUST1238"/>
    <s v="Michael Okoro"/>
    <x v="0"/>
    <s v="Warri"/>
    <s v="Delta"/>
    <x v="1"/>
    <x v="2"/>
    <s v="Office Equipment"/>
    <n v="4"/>
    <n v="158600"/>
    <n v="462000"/>
    <n v="634400"/>
    <n v="0.05"/>
    <n v="31720"/>
    <n v="602680"/>
    <n v="140680"/>
    <x v="2"/>
    <s v="Standard"/>
    <s v="Delivered"/>
    <n v="0.23342403929116609"/>
  </r>
  <r>
    <s v="ORD00063"/>
    <x v="86"/>
    <s v="CUST1166"/>
    <s v="Amina Balogun"/>
    <x v="0"/>
    <s v="Abuja"/>
    <s v="FCT"/>
    <x v="0"/>
    <x v="3"/>
    <s v="Accessories"/>
    <n v="1"/>
    <n v="66900"/>
    <n v="41800"/>
    <n v="66900"/>
    <n v="0.05"/>
    <n v="3345"/>
    <n v="63555"/>
    <n v="21755"/>
    <x v="2"/>
    <s v="Standard"/>
    <s v="Pending"/>
    <n v="0.34230194319880419"/>
  </r>
  <r>
    <s v="ORD00297"/>
    <x v="86"/>
    <s v="CUST1013"/>
    <s v="Esther Bello"/>
    <x v="1"/>
    <s v="Enugu"/>
    <s v="Enugu"/>
    <x v="3"/>
    <x v="0"/>
    <s v="Electronics"/>
    <n v="5"/>
    <n v="402000"/>
    <n v="1625500"/>
    <n v="2010000"/>
    <n v="0"/>
    <n v="0"/>
    <n v="2010000"/>
    <n v="384500"/>
    <x v="1"/>
    <s v="Express"/>
    <s v="Delivered"/>
    <n v="0.19129353233830851"/>
  </r>
  <r>
    <s v="ORD00326"/>
    <x v="86"/>
    <s v="CUST1057"/>
    <s v="Precious Okafor"/>
    <x v="1"/>
    <s v="Onitsha"/>
    <s v="Anambra"/>
    <x v="3"/>
    <x v="1"/>
    <s v="Accessories"/>
    <n v="7"/>
    <n v="33400"/>
    <n v="151200"/>
    <n v="233800"/>
    <n v="0.08"/>
    <n v="18704"/>
    <n v="215096"/>
    <n v="63896"/>
    <x v="2"/>
    <s v="Standard"/>
    <s v="Pending"/>
    <n v="0.29705805779744859"/>
  </r>
  <r>
    <s v="ORD00156"/>
    <x v="87"/>
    <s v="CUST1136"/>
    <s v="Oluwaseun Williams"/>
    <x v="0"/>
    <s v="Warri"/>
    <s v="Delta"/>
    <x v="1"/>
    <x v="3"/>
    <s v="Accessories"/>
    <n v="1"/>
    <n v="62500"/>
    <n v="42100"/>
    <n v="62500"/>
    <n v="0.05"/>
    <n v="3125"/>
    <n v="59375"/>
    <n v="17275"/>
    <x v="0"/>
    <s v="Standard"/>
    <s v="Delivered"/>
    <n v="0.29094736842105262"/>
  </r>
  <r>
    <s v="ORD00167"/>
    <x v="87"/>
    <s v="CUST1231"/>
    <s v="Ibrahim Udo"/>
    <x v="0"/>
    <s v="Abeokuta"/>
    <s v="Ogun"/>
    <x v="2"/>
    <x v="4"/>
    <s v="Accessories"/>
    <n v="1"/>
    <n v="44500"/>
    <n v="29000"/>
    <n v="44500"/>
    <n v="0.05"/>
    <n v="2225"/>
    <n v="42275"/>
    <n v="13275"/>
    <x v="3"/>
    <s v="Standard"/>
    <s v="Delivered"/>
    <n v="0.31401537551744529"/>
  </r>
  <r>
    <s v="ORD00379"/>
    <x v="87"/>
    <s v="CUST1235"/>
    <s v="Chinedu Ojo"/>
    <x v="0"/>
    <s v="Lagos"/>
    <s v="Lagos"/>
    <x v="2"/>
    <x v="6"/>
    <s v="Electronics"/>
    <n v="4"/>
    <n v="640400"/>
    <n v="2083600"/>
    <n v="2561600"/>
    <n v="0.08"/>
    <n v="204928"/>
    <n v="2356672"/>
    <n v="273072"/>
    <x v="3"/>
    <s v="Standard"/>
    <s v="Delivered"/>
    <n v="0.11587187355728761"/>
  </r>
  <r>
    <s v="ORD00196"/>
    <x v="88"/>
    <s v="CUST1164"/>
    <s v="Sarah Bello"/>
    <x v="1"/>
    <s v="Warri"/>
    <s v="Delta"/>
    <x v="1"/>
    <x v="10"/>
    <s v="Electronics"/>
    <n v="1"/>
    <n v="284700"/>
    <n v="218200"/>
    <n v="284700"/>
    <n v="0"/>
    <n v="0"/>
    <n v="284700"/>
    <n v="66500"/>
    <x v="2"/>
    <s v="Express"/>
    <s v="Delivered"/>
    <n v="0.23357920618194589"/>
  </r>
  <r>
    <s v="ORD00272"/>
    <x v="88"/>
    <s v="CUST1147"/>
    <s v="Peter Williams"/>
    <x v="0"/>
    <s v="Ikeja"/>
    <s v="Lagos"/>
    <x v="2"/>
    <x v="5"/>
    <s v="Furniture"/>
    <n v="1"/>
    <n v="171700"/>
    <n v="123100"/>
    <n v="171700"/>
    <n v="0"/>
    <n v="0"/>
    <n v="171700"/>
    <n v="48600"/>
    <x v="2"/>
    <s v="Express"/>
    <s v="Delivered"/>
    <n v="0.28305183459522421"/>
  </r>
  <r>
    <s v="ORD00022"/>
    <x v="89"/>
    <s v="CUST1018"/>
    <s v="Kemi Okafor"/>
    <x v="0"/>
    <s v="Lagos"/>
    <s v="Lagos"/>
    <x v="2"/>
    <x v="1"/>
    <s v="Accessories"/>
    <n v="4"/>
    <n v="33800"/>
    <n v="83200"/>
    <n v="135200"/>
    <n v="0.08"/>
    <n v="10816"/>
    <n v="124384"/>
    <n v="41184"/>
    <x v="0"/>
    <s v="Express"/>
    <s v="Delivered"/>
    <n v="0.33110367892976589"/>
  </r>
  <r>
    <s v="ORD00345"/>
    <x v="89"/>
    <s v="CUST1058"/>
    <s v="Michael Ibrahim"/>
    <x v="0"/>
    <s v="Enugu"/>
    <s v="Enugu"/>
    <x v="3"/>
    <x v="8"/>
    <s v="Accessories"/>
    <n v="5"/>
    <n v="79100"/>
    <n v="251500"/>
    <n v="395500"/>
    <n v="0.05"/>
    <n v="19775"/>
    <n v="375725"/>
    <n v="124225"/>
    <x v="2"/>
    <s v="Standard"/>
    <s v="Delivered"/>
    <n v="0.33062745358972651"/>
  </r>
  <r>
    <s v="ORD00443"/>
    <x v="89"/>
    <s v="CUST1179"/>
    <s v="Janet Adeyemi"/>
    <x v="0"/>
    <s v="Onitsha"/>
    <s v="Anambra"/>
    <x v="3"/>
    <x v="4"/>
    <s v="Accessories"/>
    <n v="5"/>
    <n v="41800"/>
    <n v="139500"/>
    <n v="209000"/>
    <n v="0"/>
    <n v="0"/>
    <n v="209000"/>
    <n v="69500"/>
    <x v="2"/>
    <s v="Standard"/>
    <s v="Delivered"/>
    <n v="0.33253588516746407"/>
  </r>
  <r>
    <s v="ORD00479"/>
    <x v="89"/>
    <s v="CUST1051"/>
    <s v="Mary Yusuf"/>
    <x v="1"/>
    <s v="Port Harcourt"/>
    <s v="Rivers"/>
    <x v="1"/>
    <x v="6"/>
    <s v="Electronics"/>
    <n v="4"/>
    <n v="613000"/>
    <n v="2014400"/>
    <n v="2452000"/>
    <n v="0"/>
    <n v="0"/>
    <n v="2452000"/>
    <n v="437600"/>
    <x v="0"/>
    <s v="Standard"/>
    <s v="Delivered"/>
    <n v="0.17846655791190871"/>
  </r>
  <r>
    <s v="ORD00149"/>
    <x v="90"/>
    <s v="CUST1130"/>
    <s v="Precious Adeyemi"/>
    <x v="0"/>
    <s v="Port Harcourt"/>
    <s v="Rivers"/>
    <x v="1"/>
    <x v="5"/>
    <s v="Furniture"/>
    <n v="2"/>
    <n v="188200"/>
    <n v="257800"/>
    <n v="376400"/>
    <n v="0.1"/>
    <n v="37640"/>
    <n v="338760"/>
    <n v="80960"/>
    <x v="0"/>
    <s v="Pickup"/>
    <s v="Delivered"/>
    <n v="0.23898925492974379"/>
  </r>
  <r>
    <s v="ORD00135"/>
    <x v="91"/>
    <s v="CUST1188"/>
    <s v="Favour Musa"/>
    <x v="1"/>
    <s v="Enugu"/>
    <s v="Enugu"/>
    <x v="3"/>
    <x v="0"/>
    <s v="Electronics"/>
    <n v="1"/>
    <n v="401600"/>
    <n v="331100"/>
    <n v="401600"/>
    <n v="0"/>
    <n v="0"/>
    <n v="401600"/>
    <n v="70500"/>
    <x v="4"/>
    <s v="Pickup"/>
    <s v="Delivered"/>
    <n v="0.17554780876494019"/>
  </r>
  <r>
    <s v="ORD00409"/>
    <x v="91"/>
    <s v="CUST1127"/>
    <s v="Esther Udo"/>
    <x v="0"/>
    <s v="Onitsha"/>
    <s v="Anambra"/>
    <x v="3"/>
    <x v="5"/>
    <s v="Furniture"/>
    <n v="8"/>
    <n v="176000"/>
    <n v="1025600"/>
    <n v="1408000"/>
    <n v="0"/>
    <n v="0"/>
    <n v="1408000"/>
    <n v="382400"/>
    <x v="2"/>
    <s v="Express"/>
    <s v="Delivered"/>
    <n v="0.27159090909090911"/>
  </r>
  <r>
    <s v="ORD00497"/>
    <x v="91"/>
    <s v="CUST1037"/>
    <s v="Ngozi Ojo"/>
    <x v="0"/>
    <s v="Benin City"/>
    <s v="Edo"/>
    <x v="1"/>
    <x v="11"/>
    <s v="Furniture"/>
    <n v="1"/>
    <n v="246700"/>
    <n v="166500"/>
    <n v="246700"/>
    <n v="0.08"/>
    <n v="19736"/>
    <n v="226964"/>
    <n v="60464"/>
    <x v="2"/>
    <s v="Express"/>
    <s v="Delivered"/>
    <n v="0.26640348249061518"/>
  </r>
  <r>
    <s v="ORD00292"/>
    <x v="92"/>
    <s v="CUST1156"/>
    <s v="Ngozi Yusuf"/>
    <x v="0"/>
    <s v="Warri"/>
    <s v="Delta"/>
    <x v="1"/>
    <x v="2"/>
    <s v="Office Equipment"/>
    <n v="3"/>
    <n v="165100"/>
    <n v="345000"/>
    <n v="495300"/>
    <n v="0.05"/>
    <n v="0"/>
    <n v="0"/>
    <n v="0"/>
    <x v="3"/>
    <s v="Express"/>
    <s v="Cancelled"/>
    <n v="0"/>
  </r>
  <r>
    <s v="ORD00124"/>
    <x v="93"/>
    <s v="CUST1102"/>
    <s v="Tunde Ibrahim"/>
    <x v="0"/>
    <s v="Onitsha"/>
    <s v="Anambra"/>
    <x v="3"/>
    <x v="1"/>
    <s v="Accessories"/>
    <n v="5"/>
    <n v="35400"/>
    <n v="107000"/>
    <n v="177000"/>
    <n v="0.08"/>
    <n v="14160"/>
    <n v="162840"/>
    <n v="55840"/>
    <x v="1"/>
    <s v="Standard"/>
    <s v="Delivered"/>
    <n v="0.34291328911815278"/>
  </r>
  <r>
    <s v="ORD00161"/>
    <x v="93"/>
    <s v="CUST1020"/>
    <s v="Kemi Okafor"/>
    <x v="1"/>
    <s v="Ibadan"/>
    <s v="Oyo"/>
    <x v="2"/>
    <x v="11"/>
    <s v="Furniture"/>
    <n v="7"/>
    <n v="232500"/>
    <n v="1190000"/>
    <n v="1627500"/>
    <n v="0.1"/>
    <n v="162750"/>
    <n v="1464750"/>
    <n v="274750"/>
    <x v="4"/>
    <s v="Standard"/>
    <s v="Delivered"/>
    <n v="0.18757467144563919"/>
  </r>
  <r>
    <s v="ORD00412"/>
    <x v="93"/>
    <s v="CUST1082"/>
    <s v="Yemi Balogun"/>
    <x v="0"/>
    <s v="Abeokuta"/>
    <s v="Ogun"/>
    <x v="2"/>
    <x v="0"/>
    <s v="Electronics"/>
    <n v="5"/>
    <n v="426700"/>
    <n v="1635000"/>
    <n v="2133500"/>
    <n v="0.08"/>
    <n v="170680"/>
    <n v="1962820"/>
    <n v="327820"/>
    <x v="0"/>
    <s v="Standard"/>
    <s v="Delivered"/>
    <n v="0.167014805229211"/>
  </r>
  <r>
    <s v="ORD00478"/>
    <x v="93"/>
    <s v="CUST1020"/>
    <s v="Sarah Okoro"/>
    <x v="1"/>
    <s v="Kano"/>
    <s v="Kano"/>
    <x v="4"/>
    <x v="4"/>
    <s v="Accessories"/>
    <n v="7"/>
    <n v="47700"/>
    <n v="191100"/>
    <n v="333900"/>
    <n v="0.08"/>
    <n v="26712"/>
    <n v="307188"/>
    <n v="116088"/>
    <x v="2"/>
    <s v="Standard"/>
    <s v="Delivered"/>
    <n v="0.37790538692917691"/>
  </r>
  <r>
    <s v="ORD00068"/>
    <x v="94"/>
    <s v="CUST1120"/>
    <s v="Favour Williams"/>
    <x v="0"/>
    <s v="Lagos"/>
    <s v="Lagos"/>
    <x v="2"/>
    <x v="0"/>
    <s v="Electronics"/>
    <n v="7"/>
    <n v="435200"/>
    <n v="2362500"/>
    <n v="3046400"/>
    <n v="0"/>
    <n v="0"/>
    <n v="3046400"/>
    <n v="683900"/>
    <x v="3"/>
    <s v="Standard"/>
    <s v="Pending"/>
    <n v="0.22449448529411761"/>
  </r>
  <r>
    <s v="ORD00369"/>
    <x v="95"/>
    <s v="CUST1239"/>
    <s v="Favour Obi"/>
    <x v="1"/>
    <s v="Kano"/>
    <s v="Kano"/>
    <x v="4"/>
    <x v="1"/>
    <s v="Accessories"/>
    <n v="2"/>
    <n v="36400"/>
    <n v="42600"/>
    <n v="72800"/>
    <n v="0"/>
    <n v="0"/>
    <n v="72800"/>
    <n v="30200"/>
    <x v="1"/>
    <s v="Standard"/>
    <s v="Delivered"/>
    <n v="0.41483516483516492"/>
  </r>
  <r>
    <s v="ORD00019"/>
    <x v="96"/>
    <s v="CUST1195"/>
    <s v="Samuel Adeyemi"/>
    <x v="0"/>
    <s v="Lagos"/>
    <s v="Lagos"/>
    <x v="2"/>
    <x v="10"/>
    <s v="Electronics"/>
    <n v="4"/>
    <n v="268200"/>
    <n v="848000"/>
    <n v="1072800"/>
    <n v="0.05"/>
    <n v="53640"/>
    <n v="1019160"/>
    <n v="171160"/>
    <x v="2"/>
    <s v="Express"/>
    <s v="Delivered"/>
    <n v="0.16794222693198321"/>
  </r>
  <r>
    <s v="ORD00338"/>
    <x v="96"/>
    <s v="CUST1068"/>
    <s v="Tunde Eze"/>
    <x v="0"/>
    <s v="Abuja"/>
    <s v="FCT"/>
    <x v="0"/>
    <x v="3"/>
    <s v="Accessories"/>
    <n v="4"/>
    <n v="62600"/>
    <n v="162400"/>
    <n v="250400"/>
    <n v="0.1"/>
    <n v="25040"/>
    <n v="225360"/>
    <n v="62960"/>
    <x v="4"/>
    <s v="Standard"/>
    <s v="Delivered"/>
    <n v="0.27937522186723462"/>
  </r>
  <r>
    <s v="ORD00363"/>
    <x v="96"/>
    <s v="CUST1171"/>
    <s v="Sarah Musa"/>
    <x v="0"/>
    <s v="Benin City"/>
    <s v="Edo"/>
    <x v="1"/>
    <x v="8"/>
    <s v="Accessories"/>
    <n v="7"/>
    <n v="86500"/>
    <n v="350000"/>
    <n v="605500"/>
    <n v="0"/>
    <n v="0"/>
    <n v="605500"/>
    <n v="255500"/>
    <x v="1"/>
    <s v="Pickup"/>
    <s v="Delivered"/>
    <n v="0.42196531791907521"/>
  </r>
  <r>
    <s v="ORD00313"/>
    <x v="97"/>
    <s v="CUST1111"/>
    <s v="Precious Musa"/>
    <x v="1"/>
    <s v="Lagos"/>
    <s v="Lagos"/>
    <x v="2"/>
    <x v="1"/>
    <s v="Accessories"/>
    <n v="7"/>
    <n v="37700"/>
    <n v="151900"/>
    <n v="263900"/>
    <n v="0.02"/>
    <n v="5278"/>
    <n v="258622"/>
    <n v="106722"/>
    <x v="2"/>
    <s v="Standard"/>
    <s v="Delivered"/>
    <n v="0.41265630920803342"/>
  </r>
  <r>
    <s v="ORD00370"/>
    <x v="97"/>
    <s v="CUST1232"/>
    <s v="Yemi Adeyemi"/>
    <x v="1"/>
    <s v="Ilorin"/>
    <s v="Kwara"/>
    <x v="0"/>
    <x v="10"/>
    <s v="Electronics"/>
    <n v="4"/>
    <n v="265200"/>
    <n v="829600"/>
    <n v="1060800"/>
    <n v="0"/>
    <n v="0"/>
    <n v="1060800"/>
    <n v="231200"/>
    <x v="1"/>
    <s v="Standard"/>
    <s v="Delivered"/>
    <n v="0.21794871794871801"/>
  </r>
  <r>
    <s v="ORD00128"/>
    <x v="98"/>
    <s v="CUST1214"/>
    <s v="Tunde Adebayo"/>
    <x v="1"/>
    <s v="Benin City"/>
    <s v="Edo"/>
    <x v="1"/>
    <x v="6"/>
    <s v="Electronics"/>
    <n v="4"/>
    <n v="697300"/>
    <n v="2105600"/>
    <n v="2789200"/>
    <n v="0"/>
    <n v="0"/>
    <n v="2789200"/>
    <n v="683600"/>
    <x v="4"/>
    <s v="Standard"/>
    <s v="Delivered"/>
    <n v="0.24508819733256851"/>
  </r>
  <r>
    <s v="ORD00270"/>
    <x v="98"/>
    <s v="CUST1160"/>
    <s v="Oluwaseun Garba"/>
    <x v="1"/>
    <s v="Ibadan"/>
    <s v="Oyo"/>
    <x v="2"/>
    <x v="7"/>
    <s v="Office Equipment"/>
    <n v="6"/>
    <n v="208000"/>
    <n v="907800"/>
    <n v="1248000"/>
    <n v="0"/>
    <n v="0"/>
    <n v="1248000"/>
    <n v="340200"/>
    <x v="0"/>
    <s v="Standard"/>
    <s v="Delivered"/>
    <n v="0.27259615384615382"/>
  </r>
  <r>
    <s v="ORD00273"/>
    <x v="98"/>
    <s v="CUST1246"/>
    <s v="Amina Adebayo"/>
    <x v="1"/>
    <s v="Ibadan"/>
    <s v="Oyo"/>
    <x v="2"/>
    <x v="7"/>
    <s v="Office Equipment"/>
    <n v="2"/>
    <n v="207000"/>
    <n v="306000"/>
    <n v="414000"/>
    <n v="0"/>
    <n v="0"/>
    <n v="414000"/>
    <n v="108000"/>
    <x v="1"/>
    <s v="Express"/>
    <s v="Delivered"/>
    <n v="0.2608695652173913"/>
  </r>
  <r>
    <s v="ORD00383"/>
    <x v="98"/>
    <s v="CUST1012"/>
    <s v="Favour Eze"/>
    <x v="0"/>
    <s v="Onitsha"/>
    <s v="Anambra"/>
    <x v="3"/>
    <x v="7"/>
    <s v="Office Equipment"/>
    <n v="6"/>
    <n v="201800"/>
    <n v="879600"/>
    <n v="1210800"/>
    <n v="0"/>
    <n v="0"/>
    <n v="1210800"/>
    <n v="331200"/>
    <x v="0"/>
    <s v="Standard"/>
    <s v="Pending"/>
    <n v="0.27353815659068392"/>
  </r>
  <r>
    <s v="ORD00024"/>
    <x v="99"/>
    <s v="CUST1204"/>
    <s v="Tunde Balogun"/>
    <x v="1"/>
    <s v="Kano"/>
    <s v="Kano"/>
    <x v="4"/>
    <x v="7"/>
    <s v="Office Equipment"/>
    <n v="2"/>
    <n v="193400"/>
    <n v="303000"/>
    <n v="386800"/>
    <n v="0"/>
    <n v="0"/>
    <n v="386800"/>
    <n v="83800"/>
    <x v="0"/>
    <s v="Standard"/>
    <s v="Delivered"/>
    <n v="0.21664943123061009"/>
  </r>
  <r>
    <s v="ORD00090"/>
    <x v="99"/>
    <s v="CUST1120"/>
    <s v="Sarah Okoro"/>
    <x v="0"/>
    <s v="Onitsha"/>
    <s v="Anambra"/>
    <x v="3"/>
    <x v="9"/>
    <s v="Furniture"/>
    <n v="7"/>
    <n v="118500"/>
    <n v="556500"/>
    <n v="829500"/>
    <n v="0"/>
    <n v="0"/>
    <n v="829500"/>
    <n v="273000"/>
    <x v="4"/>
    <s v="Standard"/>
    <s v="Delivered"/>
    <n v="0.32911392405063289"/>
  </r>
  <r>
    <s v="ORD00170"/>
    <x v="99"/>
    <s v="CUST1057"/>
    <s v="Favour Udo"/>
    <x v="1"/>
    <s v="Enugu"/>
    <s v="Enugu"/>
    <x v="3"/>
    <x v="10"/>
    <s v="Electronics"/>
    <n v="3"/>
    <n v="300800"/>
    <n v="648000"/>
    <n v="902400"/>
    <n v="0.08"/>
    <n v="72192"/>
    <n v="830208"/>
    <n v="182208"/>
    <x v="4"/>
    <s v="Standard"/>
    <s v="Delivered"/>
    <n v="0.21947271045328401"/>
  </r>
  <r>
    <s v="ORD00073"/>
    <x v="100"/>
    <s v="CUST1168"/>
    <s v="Tunde Udo"/>
    <x v="1"/>
    <s v="Enugu"/>
    <s v="Enugu"/>
    <x v="3"/>
    <x v="4"/>
    <s v="Accessories"/>
    <n v="3"/>
    <n v="43900"/>
    <n v="83700"/>
    <n v="131700"/>
    <n v="0.05"/>
    <n v="6585"/>
    <n v="125115"/>
    <n v="41415"/>
    <x v="4"/>
    <s v="Standard"/>
    <s v="Delivered"/>
    <n v="0.33101546577149021"/>
  </r>
  <r>
    <s v="ORD00324"/>
    <x v="101"/>
    <s v="CUST1071"/>
    <s v="Mary Udo"/>
    <x v="1"/>
    <s v="Abeokuta"/>
    <s v="Ogun"/>
    <x v="2"/>
    <x v="5"/>
    <s v="Furniture"/>
    <n v="4"/>
    <n v="185200"/>
    <n v="517600"/>
    <n v="740800"/>
    <n v="0"/>
    <n v="0"/>
    <n v="740800"/>
    <n v="223200"/>
    <x v="2"/>
    <s v="Standard"/>
    <s v="Delivered"/>
    <n v="0.30129589632829368"/>
  </r>
  <r>
    <s v="ORD00425"/>
    <x v="101"/>
    <s v="CUST1051"/>
    <s v="Sarah Ibrahim"/>
    <x v="0"/>
    <s v="Port Harcourt"/>
    <s v="Rivers"/>
    <x v="1"/>
    <x v="9"/>
    <s v="Furniture"/>
    <n v="5"/>
    <n v="119500"/>
    <n v="385000"/>
    <n v="597500"/>
    <n v="0.08"/>
    <n v="47800"/>
    <n v="549700"/>
    <n v="164700"/>
    <x v="0"/>
    <s v="Pickup"/>
    <s v="Delivered"/>
    <n v="0.29961797344005819"/>
  </r>
  <r>
    <s v="ORD00055"/>
    <x v="102"/>
    <s v="CUST1111"/>
    <s v="Esther Balogun"/>
    <x v="0"/>
    <s v="Onitsha"/>
    <s v="Anambra"/>
    <x v="3"/>
    <x v="8"/>
    <s v="Accessories"/>
    <n v="1"/>
    <n v="82900"/>
    <n v="51900"/>
    <n v="82900"/>
    <n v="0"/>
    <n v="0"/>
    <n v="82900"/>
    <n v="31000"/>
    <x v="4"/>
    <s v="Express"/>
    <s v="Delivered"/>
    <n v="0.37394451145958979"/>
  </r>
  <r>
    <s v="ORD00190"/>
    <x v="103"/>
    <s v="CUST1026"/>
    <s v="Yemi Williams"/>
    <x v="0"/>
    <s v="Warri"/>
    <s v="Delta"/>
    <x v="1"/>
    <x v="6"/>
    <s v="Electronics"/>
    <n v="7"/>
    <n v="606500"/>
    <n v="3759700"/>
    <n v="4245500"/>
    <n v="0.02"/>
    <n v="84910"/>
    <n v="4160590"/>
    <n v="400890"/>
    <x v="2"/>
    <s v="Express"/>
    <s v="Delivered"/>
    <n v="9.6354122852768481E-2"/>
  </r>
  <r>
    <s v="ORD00242"/>
    <x v="103"/>
    <s v="CUST1112"/>
    <s v="Ibrahim Afolabi"/>
    <x v="1"/>
    <s v="Warri"/>
    <s v="Delta"/>
    <x v="1"/>
    <x v="9"/>
    <s v="Furniture"/>
    <n v="2"/>
    <n v="127500"/>
    <n v="156600"/>
    <n v="255000"/>
    <n v="0"/>
    <n v="0"/>
    <n v="255000"/>
    <n v="98400"/>
    <x v="0"/>
    <s v="Standard"/>
    <s v="Delivered"/>
    <n v="0.38588235294117651"/>
  </r>
  <r>
    <s v="ORD00337"/>
    <x v="104"/>
    <s v="CUST1009"/>
    <s v="Esther Udo"/>
    <x v="0"/>
    <s v="Abeokuta"/>
    <s v="Ogun"/>
    <x v="2"/>
    <x v="3"/>
    <s v="Accessories"/>
    <n v="1"/>
    <n v="62200"/>
    <n v="41700"/>
    <n v="62200"/>
    <n v="0"/>
    <n v="0"/>
    <n v="62200"/>
    <n v="20500"/>
    <x v="0"/>
    <s v="Express"/>
    <s v="Delivered"/>
    <n v="0.32958199356913181"/>
  </r>
  <r>
    <s v="ORD00371"/>
    <x v="104"/>
    <s v="CUST1118"/>
    <s v="Sarah Balogun"/>
    <x v="1"/>
    <s v="Port Harcourt"/>
    <s v="Rivers"/>
    <x v="1"/>
    <x v="1"/>
    <s v="Accessories"/>
    <n v="8"/>
    <n v="37600"/>
    <n v="163200"/>
    <n v="300800"/>
    <n v="0.02"/>
    <n v="6016"/>
    <n v="294784"/>
    <n v="131584"/>
    <x v="4"/>
    <s v="Standard"/>
    <s v="Delivered"/>
    <n v="0.44637429439861048"/>
  </r>
  <r>
    <s v="ORD00317"/>
    <x v="105"/>
    <s v="CUST1220"/>
    <s v="Daniel Williams"/>
    <x v="0"/>
    <s v="Port Harcourt"/>
    <s v="Rivers"/>
    <x v="1"/>
    <x v="3"/>
    <s v="Accessories"/>
    <n v="1"/>
    <n v="60300"/>
    <n v="41100"/>
    <n v="60300"/>
    <n v="0"/>
    <n v="0"/>
    <n v="60300"/>
    <n v="19200"/>
    <x v="1"/>
    <s v="Standard"/>
    <s v="Delivered"/>
    <n v="0.31840796019900502"/>
  </r>
  <r>
    <s v="ORD00365"/>
    <x v="106"/>
    <s v="CUST1160"/>
    <s v="Favour Bello"/>
    <x v="0"/>
    <s v="Warri"/>
    <s v="Delta"/>
    <x v="1"/>
    <x v="1"/>
    <s v="Accessories"/>
    <n v="4"/>
    <n v="34500"/>
    <n v="80800"/>
    <n v="138000"/>
    <n v="0.02"/>
    <n v="2760"/>
    <n v="135240"/>
    <n v="54440"/>
    <x v="2"/>
    <s v="Standard"/>
    <s v="Delivered"/>
    <n v="0.40254362614611061"/>
  </r>
  <r>
    <s v="ORD00494"/>
    <x v="106"/>
    <s v="CUST1246"/>
    <s v="Grace Johnson"/>
    <x v="0"/>
    <s v="Onitsha"/>
    <s v="Anambra"/>
    <x v="3"/>
    <x v="5"/>
    <s v="Furniture"/>
    <n v="8"/>
    <n v="183400"/>
    <n v="966400"/>
    <n v="1467200"/>
    <n v="0"/>
    <n v="0"/>
    <n v="1467200"/>
    <n v="500800"/>
    <x v="4"/>
    <s v="Pickup"/>
    <s v="Delivered"/>
    <n v="0.34133042529989088"/>
  </r>
  <r>
    <s v="ORD00252"/>
    <x v="107"/>
    <s v="CUST1002"/>
    <s v="Tunde Bello"/>
    <x v="1"/>
    <s v="Ibadan"/>
    <s v="Oyo"/>
    <x v="2"/>
    <x v="2"/>
    <s v="Office Equipment"/>
    <n v="3"/>
    <n v="157400"/>
    <n v="326100"/>
    <n v="472200"/>
    <n v="0.08"/>
    <n v="37776"/>
    <n v="434424"/>
    <n v="108324"/>
    <x v="2"/>
    <s v="Pickup"/>
    <s v="Delivered"/>
    <n v="0.24935086459311639"/>
  </r>
  <r>
    <s v="ORD00433"/>
    <x v="107"/>
    <s v="CUST1123"/>
    <s v="Precious Okoro"/>
    <x v="0"/>
    <s v="Benin City"/>
    <s v="Edo"/>
    <x v="1"/>
    <x v="5"/>
    <s v="Furniture"/>
    <n v="7"/>
    <n v="175000"/>
    <n v="872900"/>
    <n v="1225000"/>
    <n v="0"/>
    <n v="0"/>
    <n v="0"/>
    <n v="0"/>
    <x v="3"/>
    <s v="Standard"/>
    <s v="Cancelled"/>
    <n v="0"/>
  </r>
  <r>
    <s v="ORD00203"/>
    <x v="108"/>
    <s v="CUST1155"/>
    <s v="Oluwaseun Obi"/>
    <x v="0"/>
    <s v="Ikeja"/>
    <s v="Lagos"/>
    <x v="2"/>
    <x v="11"/>
    <s v="Furniture"/>
    <n v="5"/>
    <n v="229600"/>
    <n v="856500"/>
    <n v="1148000"/>
    <n v="0.02"/>
    <n v="22960"/>
    <n v="1125040"/>
    <n v="268540"/>
    <x v="0"/>
    <s v="Standard"/>
    <s v="Delivered"/>
    <n v="0.2386937353338548"/>
  </r>
  <r>
    <s v="ORD00234"/>
    <x v="109"/>
    <s v="CUST1236"/>
    <s v="Grace Ogunleye"/>
    <x v="1"/>
    <s v="Ilorin"/>
    <s v="Kwara"/>
    <x v="0"/>
    <x v="4"/>
    <s v="Accessories"/>
    <n v="4"/>
    <n v="47500"/>
    <n v="116400"/>
    <n v="190000"/>
    <n v="0.05"/>
    <n v="9500"/>
    <n v="180500"/>
    <n v="64100"/>
    <x v="1"/>
    <s v="Pickup"/>
    <s v="Pending"/>
    <n v="0.35512465373961222"/>
  </r>
  <r>
    <s v="ORD00237"/>
    <x v="109"/>
    <s v="CUST1170"/>
    <s v="Mary Eze"/>
    <x v="1"/>
    <s v="Ikeja"/>
    <s v="Lagos"/>
    <x v="2"/>
    <x v="1"/>
    <s v="Accessories"/>
    <n v="6"/>
    <n v="37000"/>
    <n v="127200"/>
    <n v="222000"/>
    <n v="0.05"/>
    <n v="11100"/>
    <n v="210900"/>
    <n v="83700"/>
    <x v="3"/>
    <s v="Express"/>
    <s v="Delivered"/>
    <n v="0.39687055476529159"/>
  </r>
  <r>
    <s v="ORD00257"/>
    <x v="110"/>
    <s v="CUST1239"/>
    <s v="Grace Garba"/>
    <x v="1"/>
    <s v="Kano"/>
    <s v="Kano"/>
    <x v="4"/>
    <x v="10"/>
    <s v="Electronics"/>
    <n v="8"/>
    <n v="287000"/>
    <n v="1784800"/>
    <n v="2296000"/>
    <n v="0.05"/>
    <n v="114800"/>
    <n v="2181200"/>
    <n v="396400"/>
    <x v="0"/>
    <s v="Express"/>
    <s v="Delivered"/>
    <n v="0.1817348248670457"/>
  </r>
  <r>
    <s v="ORD00137"/>
    <x v="111"/>
    <s v="CUST1121"/>
    <s v="Precious Musa"/>
    <x v="1"/>
    <s v="Abeokuta"/>
    <s v="Ogun"/>
    <x v="2"/>
    <x v="8"/>
    <s v="Accessories"/>
    <n v="5"/>
    <n v="80600"/>
    <n v="264000"/>
    <n v="403000"/>
    <n v="0"/>
    <n v="0"/>
    <n v="403000"/>
    <n v="139000"/>
    <x v="4"/>
    <s v="Express"/>
    <s v="Delivered"/>
    <n v="0.34491315136476419"/>
  </r>
  <r>
    <s v="ORD00344"/>
    <x v="112"/>
    <s v="CUST1057"/>
    <s v="Oluwaseun Adebayo"/>
    <x v="1"/>
    <s v="Abeokuta"/>
    <s v="Ogun"/>
    <x v="2"/>
    <x v="2"/>
    <s v="Office Equipment"/>
    <n v="7"/>
    <n v="163400"/>
    <n v="779100"/>
    <n v="1143800"/>
    <n v="0.02"/>
    <n v="22876"/>
    <n v="1120924"/>
    <n v="341824"/>
    <x v="1"/>
    <s v="Standard"/>
    <s v="Delivered"/>
    <n v="0.30494841755551672"/>
  </r>
  <r>
    <s v="ORD00098"/>
    <x v="113"/>
    <s v="CUST1107"/>
    <s v="Ibrahim Udo"/>
    <x v="0"/>
    <s v="Warri"/>
    <s v="Delta"/>
    <x v="1"/>
    <x v="9"/>
    <s v="Furniture"/>
    <n v="5"/>
    <n v="127300"/>
    <n v="401500"/>
    <n v="636500"/>
    <n v="0"/>
    <n v="0"/>
    <n v="636500"/>
    <n v="235000"/>
    <x v="3"/>
    <s v="Standard"/>
    <s v="Delivered"/>
    <n v="0.36920659858601729"/>
  </r>
  <r>
    <s v="ORD00215"/>
    <x v="114"/>
    <s v="CUST1234"/>
    <s v="Precious Ibrahim"/>
    <x v="1"/>
    <s v="Ikeja"/>
    <s v="Lagos"/>
    <x v="2"/>
    <x v="1"/>
    <s v="Accessories"/>
    <n v="5"/>
    <n v="37500"/>
    <n v="105000"/>
    <n v="187500"/>
    <n v="0"/>
    <n v="0"/>
    <n v="187500"/>
    <n v="82500"/>
    <x v="0"/>
    <s v="Standard"/>
    <s v="Delivered"/>
    <n v="0.44"/>
  </r>
  <r>
    <s v="ORD00284"/>
    <x v="115"/>
    <s v="CUST1063"/>
    <s v="Grace Okafor"/>
    <x v="0"/>
    <s v="Enugu"/>
    <s v="Enugu"/>
    <x v="3"/>
    <x v="1"/>
    <s v="Accessories"/>
    <n v="4"/>
    <n v="36500"/>
    <n v="85600"/>
    <n v="146000"/>
    <n v="0"/>
    <n v="0"/>
    <n v="146000"/>
    <n v="60400"/>
    <x v="4"/>
    <s v="Pickup"/>
    <s v="Delivered"/>
    <n v="0.41369863013698632"/>
  </r>
  <r>
    <s v="ORD00444"/>
    <x v="116"/>
    <s v="CUST1171"/>
    <s v="Tunde Okoro"/>
    <x v="0"/>
    <s v="Onitsha"/>
    <s v="Anambra"/>
    <x v="3"/>
    <x v="6"/>
    <s v="Electronics"/>
    <n v="1"/>
    <n v="678500"/>
    <n v="504800"/>
    <n v="678500"/>
    <n v="0.02"/>
    <n v="13570"/>
    <n v="664930"/>
    <n v="160130"/>
    <x v="0"/>
    <s v="Express"/>
    <s v="Delivered"/>
    <n v="0.2408223422014347"/>
  </r>
  <r>
    <s v="ORD00265"/>
    <x v="117"/>
    <s v="CUST1164"/>
    <s v="Sarah Obi"/>
    <x v="0"/>
    <s v="Enugu"/>
    <s v="Enugu"/>
    <x v="3"/>
    <x v="11"/>
    <s v="Furniture"/>
    <n v="3"/>
    <n v="238200"/>
    <n v="500100"/>
    <n v="714600"/>
    <n v="0"/>
    <n v="0"/>
    <n v="714600"/>
    <n v="214500"/>
    <x v="0"/>
    <s v="Express"/>
    <s v="Delivered"/>
    <n v="0.30016792611251047"/>
  </r>
  <r>
    <s v="ORD00500"/>
    <x v="117"/>
    <s v="CUST1250"/>
    <s v="Yemi Okafor"/>
    <x v="0"/>
    <s v="Port Harcourt"/>
    <s v="Rivers"/>
    <x v="1"/>
    <x v="1"/>
    <s v="Accessories"/>
    <n v="7"/>
    <n v="36500"/>
    <n v="147000"/>
    <n v="255500"/>
    <n v="0.08"/>
    <n v="20440"/>
    <n v="235060"/>
    <n v="88060"/>
    <x v="3"/>
    <s v="Standard"/>
    <s v="Pending"/>
    <n v="0.37462775461584269"/>
  </r>
  <r>
    <s v="ORD00097"/>
    <x v="118"/>
    <s v="CUST1013"/>
    <s v="Mary Yusuf"/>
    <x v="0"/>
    <s v="Port Harcourt"/>
    <s v="Rivers"/>
    <x v="1"/>
    <x v="10"/>
    <s v="Electronics"/>
    <n v="8"/>
    <n v="293300"/>
    <n v="1741600"/>
    <n v="2346400"/>
    <n v="0.08"/>
    <n v="187712"/>
    <n v="2158688"/>
    <n v="417088"/>
    <x v="4"/>
    <s v="Express"/>
    <s v="Pending"/>
    <n v="0.19321365570198201"/>
  </r>
  <r>
    <s v="ORD00491"/>
    <x v="119"/>
    <s v="CUST1157"/>
    <s v="Ibrahim Ogunleye"/>
    <x v="1"/>
    <s v="Warri"/>
    <s v="Delta"/>
    <x v="1"/>
    <x v="0"/>
    <s v="Electronics"/>
    <n v="3"/>
    <n v="387700"/>
    <n v="1011900"/>
    <n v="1163100"/>
    <n v="0.02"/>
    <n v="23262"/>
    <n v="1139838"/>
    <n v="127938"/>
    <x v="1"/>
    <s v="Standard"/>
    <s v="Delivered"/>
    <n v="0.11224226600622191"/>
  </r>
  <r>
    <s v="ORD00364"/>
    <x v="120"/>
    <s v="CUST1127"/>
    <s v="Grace Eze"/>
    <x v="0"/>
    <s v="Ilorin"/>
    <s v="Kwara"/>
    <x v="0"/>
    <x v="0"/>
    <s v="Electronics"/>
    <n v="4"/>
    <n v="399800"/>
    <n v="1314800"/>
    <n v="1599200"/>
    <n v="0.02"/>
    <n v="31984"/>
    <n v="1567216"/>
    <n v="252416"/>
    <x v="4"/>
    <s v="Standard"/>
    <s v="Delivered"/>
    <n v="0.16106012189768351"/>
  </r>
  <r>
    <s v="ORD00390"/>
    <x v="120"/>
    <s v="CUST1087"/>
    <s v="John Obi"/>
    <x v="0"/>
    <s v="Ibadan"/>
    <s v="Oyo"/>
    <x v="2"/>
    <x v="5"/>
    <s v="Furniture"/>
    <n v="6"/>
    <n v="174400"/>
    <n v="771600"/>
    <n v="1046400"/>
    <n v="0.1"/>
    <n v="104640"/>
    <n v="941760"/>
    <n v="170160"/>
    <x v="4"/>
    <s v="Standard"/>
    <s v="Delivered"/>
    <n v="0.18068297655453619"/>
  </r>
  <r>
    <s v="ORD00460"/>
    <x v="121"/>
    <s v="CUST1035"/>
    <s v="Daniel Bello"/>
    <x v="0"/>
    <s v="Kano"/>
    <s v="Kano"/>
    <x v="4"/>
    <x v="11"/>
    <s v="Furniture"/>
    <n v="5"/>
    <n v="255900"/>
    <n v="802500"/>
    <n v="1279500"/>
    <n v="0.05"/>
    <n v="63975"/>
    <n v="1215525"/>
    <n v="413025"/>
    <x v="4"/>
    <s v="Standard"/>
    <s v="Delivered"/>
    <n v="0.3397914481396927"/>
  </r>
  <r>
    <s v="ORD00438"/>
    <x v="122"/>
    <s v="CUST1170"/>
    <s v="Ibrahim Nwosu"/>
    <x v="1"/>
    <s v="Lagos"/>
    <s v="Lagos"/>
    <x v="2"/>
    <x v="10"/>
    <s v="Electronics"/>
    <n v="7"/>
    <n v="287300"/>
    <n v="1458800"/>
    <n v="2011100"/>
    <n v="0.1"/>
    <n v="201110"/>
    <n v="1809990"/>
    <n v="351190"/>
    <x v="3"/>
    <s v="Standard"/>
    <s v="Pending"/>
    <n v="0.1940286962911397"/>
  </r>
  <r>
    <s v="ORD00210"/>
    <x v="123"/>
    <s v="CUST1239"/>
    <s v="Esther Johnson"/>
    <x v="0"/>
    <s v="Onitsha"/>
    <s v="Anambra"/>
    <x v="3"/>
    <x v="5"/>
    <s v="Furniture"/>
    <n v="3"/>
    <n v="182200"/>
    <n v="386100"/>
    <n v="546600"/>
    <n v="0.1"/>
    <n v="54660"/>
    <n v="491940"/>
    <n v="105840"/>
    <x v="0"/>
    <s v="Standard"/>
    <s v="Delivered"/>
    <n v="0.21514818880351261"/>
  </r>
  <r>
    <s v="ORD00391"/>
    <x v="123"/>
    <s v="CUST1190"/>
    <s v="Daniel Garba"/>
    <x v="0"/>
    <s v="Ilorin"/>
    <s v="Kwara"/>
    <x v="0"/>
    <x v="8"/>
    <s v="Accessories"/>
    <n v="7"/>
    <n v="84700"/>
    <n v="372400"/>
    <n v="592900"/>
    <n v="0.1"/>
    <n v="59290"/>
    <n v="533610"/>
    <n v="161210"/>
    <x v="4"/>
    <s v="Pickup"/>
    <s v="Pending"/>
    <n v="0.30211202938475668"/>
  </r>
  <r>
    <s v="ORD00456"/>
    <x v="124"/>
    <s v="CUST1145"/>
    <s v="Ibrahim Yusuf"/>
    <x v="0"/>
    <s v="Ibadan"/>
    <s v="Oyo"/>
    <x v="2"/>
    <x v="4"/>
    <s v="Accessories"/>
    <n v="3"/>
    <n v="42400"/>
    <n v="87000"/>
    <n v="127200"/>
    <n v="0"/>
    <n v="0"/>
    <n v="127200"/>
    <n v="40200"/>
    <x v="0"/>
    <s v="Standard"/>
    <s v="Delivered"/>
    <n v="0.31603773584905659"/>
  </r>
  <r>
    <s v="ORD00072"/>
    <x v="125"/>
    <s v="CUST1148"/>
    <s v="Janet Nwosu"/>
    <x v="1"/>
    <s v="Port Harcourt"/>
    <s v="Rivers"/>
    <x v="1"/>
    <x v="5"/>
    <s v="Furniture"/>
    <n v="2"/>
    <n v="166000"/>
    <n v="253200"/>
    <n v="332000"/>
    <n v="0"/>
    <n v="0"/>
    <n v="0"/>
    <n v="0"/>
    <x v="2"/>
    <s v="Standard"/>
    <s v="Cancelled"/>
    <n v="0"/>
  </r>
  <r>
    <s v="ORD00377"/>
    <x v="125"/>
    <s v="CUST1087"/>
    <s v="Yemi Bello"/>
    <x v="0"/>
    <s v="Benin City"/>
    <s v="Edo"/>
    <x v="1"/>
    <x v="3"/>
    <s v="Accessories"/>
    <n v="5"/>
    <n v="64100"/>
    <n v="205000"/>
    <n v="320500"/>
    <n v="0.02"/>
    <n v="6410"/>
    <n v="314090"/>
    <n v="109090"/>
    <x v="0"/>
    <s v="Express"/>
    <s v="Delivered"/>
    <n v="0.34732083160877453"/>
  </r>
  <r>
    <s v="ORD00492"/>
    <x v="125"/>
    <s v="CUST1026"/>
    <s v="Favour Balogun"/>
    <x v="0"/>
    <s v="Warri"/>
    <s v="Delta"/>
    <x v="1"/>
    <x v="1"/>
    <s v="Accessories"/>
    <n v="2"/>
    <n v="33200"/>
    <n v="41600"/>
    <n v="66400"/>
    <n v="0"/>
    <n v="0"/>
    <n v="66400"/>
    <n v="24800"/>
    <x v="4"/>
    <s v="Standard"/>
    <s v="Delivered"/>
    <n v="0.37349397590361438"/>
  </r>
  <r>
    <s v="ORD00031"/>
    <x v="126"/>
    <s v="CUST1171"/>
    <s v="Favour Musa"/>
    <x v="0"/>
    <s v="Ilorin"/>
    <s v="Kwara"/>
    <x v="0"/>
    <x v="6"/>
    <s v="Electronics"/>
    <n v="4"/>
    <n v="657800"/>
    <n v="2061200"/>
    <n v="2631200"/>
    <n v="0.05"/>
    <n v="131560"/>
    <n v="2499640"/>
    <n v="438440"/>
    <x v="1"/>
    <s v="Pickup"/>
    <s v="Delivered"/>
    <n v="0.17540125778112051"/>
  </r>
  <r>
    <s v="ORD00064"/>
    <x v="126"/>
    <s v="CUST1200"/>
    <s v="Kemi Garba"/>
    <x v="0"/>
    <s v="Benin City"/>
    <s v="Edo"/>
    <x v="1"/>
    <x v="8"/>
    <s v="Accessories"/>
    <n v="8"/>
    <n v="81300"/>
    <n v="417600"/>
    <n v="650400"/>
    <n v="0"/>
    <n v="0"/>
    <n v="650400"/>
    <n v="232800"/>
    <x v="4"/>
    <s v="Standard"/>
    <s v="Delivered"/>
    <n v="0.35793357933579328"/>
  </r>
  <r>
    <s v="ORD00071"/>
    <x v="126"/>
    <s v="CUST1182"/>
    <s v="Ibrahim Garba"/>
    <x v="0"/>
    <s v="Ikeja"/>
    <s v="Lagos"/>
    <x v="2"/>
    <x v="3"/>
    <s v="Accessories"/>
    <n v="3"/>
    <n v="67500"/>
    <n v="125400"/>
    <n v="202500"/>
    <n v="0"/>
    <n v="0"/>
    <n v="202500"/>
    <n v="77100"/>
    <x v="1"/>
    <s v="Standard"/>
    <s v="Delivered"/>
    <n v="0.38074074074074082"/>
  </r>
  <r>
    <s v="ORD00384"/>
    <x v="126"/>
    <s v="CUST1197"/>
    <s v="Sarah Garba"/>
    <x v="0"/>
    <s v="Kano"/>
    <s v="Kano"/>
    <x v="4"/>
    <x v="11"/>
    <s v="Furniture"/>
    <n v="7"/>
    <n v="244600"/>
    <n v="1183000"/>
    <n v="1712200"/>
    <n v="0"/>
    <n v="0"/>
    <n v="1712200"/>
    <n v="529200"/>
    <x v="0"/>
    <s v="Express"/>
    <s v="Delivered"/>
    <n v="0.30907604251839738"/>
  </r>
  <r>
    <s v="ORD00025"/>
    <x v="127"/>
    <s v="CUST1170"/>
    <s v="Grace Balogun"/>
    <x v="1"/>
    <s v="Onitsha"/>
    <s v="Anambra"/>
    <x v="3"/>
    <x v="6"/>
    <s v="Electronics"/>
    <n v="2"/>
    <n v="654400"/>
    <n v="1022200"/>
    <n v="1308800"/>
    <n v="0.02"/>
    <n v="26176"/>
    <n v="1282624"/>
    <n v="260424"/>
    <x v="0"/>
    <s v="Standard"/>
    <s v="Delivered"/>
    <n v="0.2030400179631755"/>
  </r>
  <r>
    <s v="ORD00036"/>
    <x v="128"/>
    <s v="CUST1042"/>
    <s v="Ibrahim Afolabi"/>
    <x v="0"/>
    <s v="Abeokuta"/>
    <s v="Ogun"/>
    <x v="2"/>
    <x v="5"/>
    <s v="Furniture"/>
    <n v="3"/>
    <n v="171700"/>
    <n v="388500"/>
    <n v="515100"/>
    <n v="0.05"/>
    <n v="25755"/>
    <n v="489345"/>
    <n v="100845"/>
    <x v="2"/>
    <s v="Pickup"/>
    <s v="Delivered"/>
    <n v="0.20608159887196151"/>
  </r>
  <r>
    <s v="ORD00120"/>
    <x v="128"/>
    <s v="CUST1242"/>
    <s v="Mary Adebayo"/>
    <x v="1"/>
    <s v="Benin City"/>
    <s v="Edo"/>
    <x v="1"/>
    <x v="4"/>
    <s v="Accessories"/>
    <n v="3"/>
    <n v="43700"/>
    <n v="84000"/>
    <n v="131100"/>
    <n v="0"/>
    <n v="0"/>
    <n v="131100"/>
    <n v="47100"/>
    <x v="1"/>
    <s v="Express"/>
    <s v="Delivered"/>
    <n v="0.35926773455377581"/>
  </r>
  <r>
    <s v="ORD00076"/>
    <x v="129"/>
    <s v="CUST1213"/>
    <s v="Oluwaseun Ojo"/>
    <x v="1"/>
    <s v="Enugu"/>
    <s v="Enugu"/>
    <x v="3"/>
    <x v="0"/>
    <s v="Electronics"/>
    <n v="6"/>
    <n v="426900"/>
    <n v="2059200"/>
    <n v="2561400"/>
    <n v="0.1"/>
    <n v="256140"/>
    <n v="2305260"/>
    <n v="246060"/>
    <x v="4"/>
    <s v="Express"/>
    <s v="Pending"/>
    <n v="0.1067385023815101"/>
  </r>
  <r>
    <s v="ORD00474"/>
    <x v="129"/>
    <s v="CUST1125"/>
    <s v="Daniel Ibrahim"/>
    <x v="0"/>
    <s v="Onitsha"/>
    <s v="Anambra"/>
    <x v="3"/>
    <x v="0"/>
    <s v="Electronics"/>
    <n v="1"/>
    <n v="444100"/>
    <n v="347400"/>
    <n v="444100"/>
    <n v="0.05"/>
    <n v="22205"/>
    <n v="421895"/>
    <n v="74495"/>
    <x v="4"/>
    <s v="Express"/>
    <s v="Delivered"/>
    <n v="0.17657236990246389"/>
  </r>
  <r>
    <s v="ORD00188"/>
    <x v="130"/>
    <s v="CUST1016"/>
    <s v="Samuel Ojo"/>
    <x v="1"/>
    <s v="Enugu"/>
    <s v="Enugu"/>
    <x v="3"/>
    <x v="7"/>
    <s v="Office Equipment"/>
    <n v="2"/>
    <n v="215600"/>
    <n v="302200"/>
    <n v="431200"/>
    <n v="0.08"/>
    <n v="34496"/>
    <n v="396704"/>
    <n v="94504"/>
    <x v="4"/>
    <s v="Pickup"/>
    <s v="Delivered"/>
    <n v="0.23822295716705649"/>
  </r>
  <r>
    <s v="ORD00049"/>
    <x v="131"/>
    <s v="CUST1145"/>
    <s v="Kemi Nwosu"/>
    <x v="1"/>
    <s v="Kano"/>
    <s v="Kano"/>
    <x v="4"/>
    <x v="2"/>
    <s v="Office Equipment"/>
    <n v="6"/>
    <n v="163100"/>
    <n v="691200"/>
    <n v="978600"/>
    <n v="0.08"/>
    <n v="78288"/>
    <n v="900312"/>
    <n v="209112"/>
    <x v="2"/>
    <s v="Pickup"/>
    <s v="Delivered"/>
    <n v="0.23226614773545171"/>
  </r>
  <r>
    <s v="ORD00401"/>
    <x v="132"/>
    <s v="CUST1183"/>
    <s v="Daniel Obi"/>
    <x v="0"/>
    <s v="Port Harcourt"/>
    <s v="Rivers"/>
    <x v="1"/>
    <x v="1"/>
    <s v="Accessories"/>
    <n v="1"/>
    <n v="33000"/>
    <n v="21100"/>
    <n v="33000"/>
    <n v="0"/>
    <n v="0"/>
    <n v="33000"/>
    <n v="11900"/>
    <x v="2"/>
    <s v="Standard"/>
    <s v="Delivered"/>
    <n v="0.3606060606060606"/>
  </r>
  <r>
    <s v="ORD00406"/>
    <x v="132"/>
    <s v="CUST1069"/>
    <s v="Chinedu Adeyemi"/>
    <x v="0"/>
    <s v="Kano"/>
    <s v="Kano"/>
    <x v="4"/>
    <x v="0"/>
    <s v="Electronics"/>
    <n v="3"/>
    <n v="410100"/>
    <n v="968400"/>
    <n v="1230300"/>
    <n v="0"/>
    <n v="0"/>
    <n v="1230300"/>
    <n v="261900"/>
    <x v="4"/>
    <s v="Standard"/>
    <s v="Delivered"/>
    <n v="0.2128749085588881"/>
  </r>
  <r>
    <s v="ORD00227"/>
    <x v="133"/>
    <s v="CUST1204"/>
    <s v="Kemi Balogun"/>
    <x v="0"/>
    <s v="Port Harcourt"/>
    <s v="Rivers"/>
    <x v="1"/>
    <x v="8"/>
    <s v="Accessories"/>
    <n v="1"/>
    <n v="82400"/>
    <n v="53100"/>
    <n v="82400"/>
    <n v="0.05"/>
    <n v="4120"/>
    <n v="78280"/>
    <n v="25180"/>
    <x v="0"/>
    <s v="Standard"/>
    <s v="Delivered"/>
    <n v="0.32166581502299441"/>
  </r>
  <r>
    <s v="ORD00312"/>
    <x v="133"/>
    <s v="CUST1099"/>
    <s v="Oluwaseun Williams"/>
    <x v="1"/>
    <s v="Abeokuta"/>
    <s v="Ogun"/>
    <x v="2"/>
    <x v="3"/>
    <s v="Accessories"/>
    <n v="2"/>
    <n v="67200"/>
    <n v="85400"/>
    <n v="134400"/>
    <n v="0.05"/>
    <n v="0"/>
    <n v="0"/>
    <n v="0"/>
    <x v="3"/>
    <s v="Standard"/>
    <s v="Cancelled"/>
    <n v="0"/>
  </r>
  <r>
    <s v="ORD00430"/>
    <x v="133"/>
    <s v="CUST1250"/>
    <s v="Michael Adebayo"/>
    <x v="1"/>
    <s v="Benin City"/>
    <s v="Edo"/>
    <x v="1"/>
    <x v="0"/>
    <s v="Electronics"/>
    <n v="2"/>
    <n v="423100"/>
    <n v="656600"/>
    <n v="846200"/>
    <n v="0"/>
    <n v="0"/>
    <n v="846200"/>
    <n v="189600"/>
    <x v="1"/>
    <s v="Standard"/>
    <s v="Pending"/>
    <n v="0.22406050579059331"/>
  </r>
  <r>
    <s v="ORD00181"/>
    <x v="134"/>
    <s v="CUST1161"/>
    <s v="Daniel Garba"/>
    <x v="0"/>
    <s v="Ibadan"/>
    <s v="Oyo"/>
    <x v="2"/>
    <x v="4"/>
    <s v="Accessories"/>
    <n v="4"/>
    <n v="43800"/>
    <n v="109200"/>
    <n v="175200"/>
    <n v="0.05"/>
    <n v="8760"/>
    <n v="166440"/>
    <n v="57240"/>
    <x v="4"/>
    <s v="Standard"/>
    <s v="Delivered"/>
    <n v="0.3439077144917087"/>
  </r>
  <r>
    <s v="ORD00325"/>
    <x v="134"/>
    <s v="CUST1132"/>
    <s v="Ngozi Yusuf"/>
    <x v="0"/>
    <s v="Benin City"/>
    <s v="Edo"/>
    <x v="1"/>
    <x v="11"/>
    <s v="Furniture"/>
    <n v="8"/>
    <n v="229100"/>
    <n v="1297600"/>
    <n v="1832800"/>
    <n v="0.02"/>
    <n v="36656"/>
    <n v="1796144"/>
    <n v="498544"/>
    <x v="0"/>
    <s v="Standard"/>
    <s v="Delivered"/>
    <n v="0.27756349156860483"/>
  </r>
  <r>
    <s v="ORD00183"/>
    <x v="135"/>
    <s v="CUST1067"/>
    <s v="Esther Balogun"/>
    <x v="1"/>
    <s v="Warri"/>
    <s v="Delta"/>
    <x v="1"/>
    <x v="6"/>
    <s v="Electronics"/>
    <n v="6"/>
    <n v="687000"/>
    <n v="3052200"/>
    <n v="4122000"/>
    <n v="0.05"/>
    <n v="206100"/>
    <n v="3915900"/>
    <n v="863700"/>
    <x v="0"/>
    <s v="Standard"/>
    <s v="Delivered"/>
    <n v="0.22056232283766181"/>
  </r>
  <r>
    <s v="ORD00028"/>
    <x v="136"/>
    <s v="CUST1191"/>
    <s v="Favour Okafor"/>
    <x v="1"/>
    <s v="Port Harcourt"/>
    <s v="Rivers"/>
    <x v="1"/>
    <x v="10"/>
    <s v="Electronics"/>
    <n v="8"/>
    <n v="265800"/>
    <n v="1780000"/>
    <n v="2126400"/>
    <n v="0.05"/>
    <n v="106320"/>
    <n v="2020080"/>
    <n v="240080"/>
    <x v="2"/>
    <s v="Express"/>
    <s v="Delivered"/>
    <n v="0.1188467783454121"/>
  </r>
  <r>
    <s v="ORD00194"/>
    <x v="136"/>
    <s v="CUST1011"/>
    <s v="Oluwaseun Lawal"/>
    <x v="0"/>
    <s v="Onitsha"/>
    <s v="Anambra"/>
    <x v="3"/>
    <x v="0"/>
    <s v="Electronics"/>
    <n v="1"/>
    <n v="394000"/>
    <n v="330900"/>
    <n v="394000"/>
    <n v="0.02"/>
    <n v="7880"/>
    <n v="386120"/>
    <n v="55220"/>
    <x v="1"/>
    <s v="Standard"/>
    <s v="Pending"/>
    <n v="0.14301253496322389"/>
  </r>
  <r>
    <s v="ORD00350"/>
    <x v="137"/>
    <s v="CUST1127"/>
    <s v="Peter Adeyemi"/>
    <x v="0"/>
    <s v="Enugu"/>
    <s v="Enugu"/>
    <x v="3"/>
    <x v="1"/>
    <s v="Accessories"/>
    <n v="3"/>
    <n v="35200"/>
    <n v="64800"/>
    <n v="105600"/>
    <n v="0.1"/>
    <n v="10560"/>
    <n v="95040"/>
    <n v="30240"/>
    <x v="4"/>
    <s v="Express"/>
    <s v="Delivered"/>
    <n v="0.31818181818181818"/>
  </r>
  <r>
    <s v="ORD00446"/>
    <x v="137"/>
    <s v="CUST1237"/>
    <s v="Daniel Eze"/>
    <x v="0"/>
    <s v="Enugu"/>
    <s v="Enugu"/>
    <x v="3"/>
    <x v="1"/>
    <s v="Accessories"/>
    <n v="5"/>
    <n v="35400"/>
    <n v="103000"/>
    <n v="177000"/>
    <n v="0"/>
    <n v="0"/>
    <n v="177000"/>
    <n v="74000"/>
    <x v="0"/>
    <s v="Standard"/>
    <s v="Delivered"/>
    <n v="0.41807909604519772"/>
  </r>
  <r>
    <s v="ORD00191"/>
    <x v="138"/>
    <s v="CUST1216"/>
    <s v="Chinedu Ogunleye"/>
    <x v="0"/>
    <s v="Warri"/>
    <s v="Delta"/>
    <x v="1"/>
    <x v="5"/>
    <s v="Furniture"/>
    <n v="7"/>
    <n v="169400"/>
    <n v="856100"/>
    <n v="1185800"/>
    <n v="0.05"/>
    <n v="0"/>
    <n v="0"/>
    <n v="0"/>
    <x v="4"/>
    <s v="Standard"/>
    <s v="Cancelled"/>
    <n v="0"/>
  </r>
  <r>
    <s v="ORD00341"/>
    <x v="139"/>
    <s v="CUST1012"/>
    <s v="Daniel Eze"/>
    <x v="0"/>
    <s v="Abeokuta"/>
    <s v="Ogun"/>
    <x v="2"/>
    <x v="5"/>
    <s v="Furniture"/>
    <n v="4"/>
    <n v="167400"/>
    <n v="491600"/>
    <n v="669600"/>
    <n v="0"/>
    <n v="0"/>
    <n v="0"/>
    <n v="0"/>
    <x v="1"/>
    <s v="Express"/>
    <s v="Cancelled"/>
    <n v="0"/>
  </r>
  <r>
    <s v="ORD00346"/>
    <x v="139"/>
    <s v="CUST1151"/>
    <s v="Ngozi Ojo"/>
    <x v="1"/>
    <s v="Abeokuta"/>
    <s v="Ogun"/>
    <x v="2"/>
    <x v="11"/>
    <s v="Furniture"/>
    <n v="8"/>
    <n v="251200"/>
    <n v="1338400"/>
    <n v="2009600"/>
    <n v="0.05"/>
    <n v="100480"/>
    <n v="1909120"/>
    <n v="570720"/>
    <x v="4"/>
    <s v="Express"/>
    <s v="Pending"/>
    <n v="0.29894401609118337"/>
  </r>
  <r>
    <s v="ORD00440"/>
    <x v="139"/>
    <s v="CUST1214"/>
    <s v="Samuel Udo"/>
    <x v="0"/>
    <s v="Abuja"/>
    <s v="FCT"/>
    <x v="0"/>
    <x v="4"/>
    <s v="Accessories"/>
    <n v="8"/>
    <n v="45300"/>
    <n v="228000"/>
    <n v="362400"/>
    <n v="0"/>
    <n v="0"/>
    <n v="362400"/>
    <n v="134400"/>
    <x v="2"/>
    <s v="Standard"/>
    <s v="Pending"/>
    <n v="0.37086092715231789"/>
  </r>
  <r>
    <s v="ORD00399"/>
    <x v="140"/>
    <s v="CUST1067"/>
    <s v="Ibrahim Udo"/>
    <x v="0"/>
    <s v="Lagos"/>
    <s v="Lagos"/>
    <x v="2"/>
    <x v="2"/>
    <s v="Office Equipment"/>
    <n v="7"/>
    <n v="167000"/>
    <n v="794500"/>
    <n v="1169000"/>
    <n v="0"/>
    <n v="0"/>
    <n v="1169000"/>
    <n v="374500"/>
    <x v="4"/>
    <s v="Standard"/>
    <s v="Delivered"/>
    <n v="0.32035928143712578"/>
  </r>
  <r>
    <s v="ORD00045"/>
    <x v="141"/>
    <s v="CUST1095"/>
    <s v="Favour Ibrahim"/>
    <x v="0"/>
    <s v="Lagos"/>
    <s v="Lagos"/>
    <x v="2"/>
    <x v="7"/>
    <s v="Office Equipment"/>
    <n v="2"/>
    <n v="194400"/>
    <n v="291200"/>
    <n v="388800"/>
    <n v="0"/>
    <n v="0"/>
    <n v="388800"/>
    <n v="97600"/>
    <x v="4"/>
    <s v="Express"/>
    <s v="Delivered"/>
    <n v="0.25102880658436222"/>
  </r>
  <r>
    <s v="ORD00396"/>
    <x v="141"/>
    <s v="CUST1170"/>
    <s v="Chinedu Ogunleye"/>
    <x v="0"/>
    <s v="Benin City"/>
    <s v="Edo"/>
    <x v="1"/>
    <x v="1"/>
    <s v="Accessories"/>
    <n v="5"/>
    <n v="37400"/>
    <n v="103500"/>
    <n v="187000"/>
    <n v="0"/>
    <n v="0"/>
    <n v="187000"/>
    <n v="83500"/>
    <x v="2"/>
    <s v="Standard"/>
    <s v="Delivered"/>
    <n v="0.446524064171123"/>
  </r>
  <r>
    <s v="ORD00172"/>
    <x v="142"/>
    <s v="CUST1098"/>
    <s v="Amina Eze"/>
    <x v="1"/>
    <s v="Kano"/>
    <s v="Kano"/>
    <x v="4"/>
    <x v="10"/>
    <s v="Electronics"/>
    <n v="2"/>
    <n v="281900"/>
    <n v="440000"/>
    <n v="563800"/>
    <n v="0.02"/>
    <n v="11276"/>
    <n v="552524"/>
    <n v="112524"/>
    <x v="1"/>
    <s v="Pickup"/>
    <s v="Delivered"/>
    <n v="0.2036545018858909"/>
  </r>
  <r>
    <s v="ORD00447"/>
    <x v="142"/>
    <s v="CUST1115"/>
    <s v="Ngozi Nwosu"/>
    <x v="0"/>
    <s v="Port Harcourt"/>
    <s v="Rivers"/>
    <x v="1"/>
    <x v="4"/>
    <s v="Accessories"/>
    <n v="5"/>
    <n v="43300"/>
    <n v="138000"/>
    <n v="216500"/>
    <n v="0"/>
    <n v="0"/>
    <n v="216500"/>
    <n v="78500"/>
    <x v="0"/>
    <s v="Express"/>
    <s v="Delivered"/>
    <n v="0.3625866050808314"/>
  </r>
  <r>
    <s v="ORD00125"/>
    <x v="143"/>
    <s v="CUST1143"/>
    <s v="Tunde Adeyemi"/>
    <x v="1"/>
    <s v="Lagos"/>
    <s v="Lagos"/>
    <x v="2"/>
    <x v="7"/>
    <s v="Office Equipment"/>
    <n v="8"/>
    <n v="203200"/>
    <n v="1214400"/>
    <n v="1625600"/>
    <n v="0"/>
    <n v="0"/>
    <n v="1625600"/>
    <n v="411200"/>
    <x v="2"/>
    <s v="Standard"/>
    <s v="Delivered"/>
    <n v="0.25295275590551181"/>
  </r>
  <r>
    <s v="ORD00067"/>
    <x v="144"/>
    <s v="CUST1023"/>
    <s v="Peter Afolabi"/>
    <x v="0"/>
    <s v="Ilorin"/>
    <s v="Kwara"/>
    <x v="0"/>
    <x v="8"/>
    <s v="Accessories"/>
    <n v="3"/>
    <n v="82900"/>
    <n v="152100"/>
    <n v="248700"/>
    <n v="0.08"/>
    <n v="19896"/>
    <n v="228804"/>
    <n v="76704"/>
    <x v="1"/>
    <s v="Standard"/>
    <s v="Delivered"/>
    <n v="0.33523889442492272"/>
  </r>
  <r>
    <s v="ORD00189"/>
    <x v="145"/>
    <s v="CUST1189"/>
    <s v="John Okoro"/>
    <x v="0"/>
    <s v="Benin City"/>
    <s v="Edo"/>
    <x v="1"/>
    <x v="7"/>
    <s v="Office Equipment"/>
    <n v="5"/>
    <n v="201700"/>
    <n v="733000"/>
    <n v="1008500"/>
    <n v="0.02"/>
    <n v="20170"/>
    <n v="988330"/>
    <n v="255330"/>
    <x v="0"/>
    <s v="Pickup"/>
    <s v="Delivered"/>
    <n v="0.2583448848056823"/>
  </r>
  <r>
    <s v="ORD00187"/>
    <x v="146"/>
    <s v="CUST1053"/>
    <s v="Daniel Ogunleye"/>
    <x v="1"/>
    <s v="Enugu"/>
    <s v="Enugu"/>
    <x v="3"/>
    <x v="8"/>
    <s v="Accessories"/>
    <n v="1"/>
    <n v="81500"/>
    <n v="50000"/>
    <n v="81500"/>
    <n v="0.02"/>
    <n v="1630"/>
    <n v="79870"/>
    <n v="29870"/>
    <x v="4"/>
    <s v="Standard"/>
    <s v="Delivered"/>
    <n v="0.37398272192312509"/>
  </r>
  <r>
    <s v="ORD00212"/>
    <x v="147"/>
    <s v="CUST1194"/>
    <s v="John Okafor"/>
    <x v="1"/>
    <s v="Port Harcourt"/>
    <s v="Rivers"/>
    <x v="1"/>
    <x v="1"/>
    <s v="Accessories"/>
    <n v="3"/>
    <n v="37100"/>
    <n v="63000"/>
    <n v="111300"/>
    <n v="0.05"/>
    <n v="5565"/>
    <n v="105735"/>
    <n v="42735"/>
    <x v="1"/>
    <s v="Standard"/>
    <s v="Delivered"/>
    <n v="0.40417080436941411"/>
  </r>
  <r>
    <s v="ORD00449"/>
    <x v="147"/>
    <s v="CUST1196"/>
    <s v="John Okoro"/>
    <x v="0"/>
    <s v="Lagos"/>
    <s v="Lagos"/>
    <x v="2"/>
    <x v="8"/>
    <s v="Accessories"/>
    <n v="7"/>
    <n v="83700"/>
    <n v="354200"/>
    <n v="585900"/>
    <n v="0.1"/>
    <n v="58590"/>
    <n v="527310"/>
    <n v="173110"/>
    <x v="4"/>
    <s v="Standard"/>
    <s v="Pending"/>
    <n v="0.32828886233904148"/>
  </r>
  <r>
    <s v="ORD00035"/>
    <x v="148"/>
    <s v="CUST1223"/>
    <s v="Yemi Lawal"/>
    <x v="0"/>
    <s v="Lagos"/>
    <s v="Lagos"/>
    <x v="2"/>
    <x v="7"/>
    <s v="Office Equipment"/>
    <n v="4"/>
    <n v="193600"/>
    <n v="619600"/>
    <n v="774400"/>
    <n v="0"/>
    <n v="0"/>
    <n v="774400"/>
    <n v="154800"/>
    <x v="0"/>
    <s v="Standard"/>
    <s v="Delivered"/>
    <n v="0.19989669421487599"/>
  </r>
  <r>
    <s v="ORD00404"/>
    <x v="148"/>
    <s v="CUST1078"/>
    <s v="Precious Johnson"/>
    <x v="0"/>
    <s v="Ilorin"/>
    <s v="Kwara"/>
    <x v="0"/>
    <x v="6"/>
    <s v="Electronics"/>
    <n v="7"/>
    <n v="700000"/>
    <n v="3670800"/>
    <n v="4900000"/>
    <n v="0.02"/>
    <n v="98000"/>
    <n v="4802000"/>
    <n v="1131200"/>
    <x v="4"/>
    <s v="Standard"/>
    <s v="Pending"/>
    <n v="0.2355685131195335"/>
  </r>
  <r>
    <s v="ORD00184"/>
    <x v="149"/>
    <s v="CUST1210"/>
    <s v="Tunde Adeyemi"/>
    <x v="0"/>
    <s v="Abeokuta"/>
    <s v="Ogun"/>
    <x v="2"/>
    <x v="3"/>
    <s v="Accessories"/>
    <n v="6"/>
    <n v="69200"/>
    <n v="246600"/>
    <n v="415200"/>
    <n v="0.05"/>
    <n v="20760"/>
    <n v="394440"/>
    <n v="147840"/>
    <x v="0"/>
    <s v="Standard"/>
    <s v="Delivered"/>
    <n v="0.37480985701247338"/>
  </r>
  <r>
    <s v="ORD00279"/>
    <x v="149"/>
    <s v="CUST1048"/>
    <s v="Esther Williams"/>
    <x v="0"/>
    <s v="Ikeja"/>
    <s v="Lagos"/>
    <x v="2"/>
    <x v="3"/>
    <s v="Accessories"/>
    <n v="6"/>
    <n v="68600"/>
    <n v="249600"/>
    <n v="411600"/>
    <n v="0.05"/>
    <n v="20580"/>
    <n v="391020"/>
    <n v="141420"/>
    <x v="4"/>
    <s v="Standard"/>
    <s v="Delivered"/>
    <n v="0.36166947982200398"/>
  </r>
  <r>
    <s v="ORD00441"/>
    <x v="149"/>
    <s v="CUST1151"/>
    <s v="Precious Bello"/>
    <x v="0"/>
    <s v="Enugu"/>
    <s v="Enugu"/>
    <x v="3"/>
    <x v="8"/>
    <s v="Accessories"/>
    <n v="4"/>
    <n v="90100"/>
    <n v="203200"/>
    <n v="360400"/>
    <n v="0.05"/>
    <n v="18020"/>
    <n v="342380"/>
    <n v="139180"/>
    <x v="2"/>
    <s v="Pickup"/>
    <s v="Delivered"/>
    <n v="0.40650738945031828"/>
  </r>
  <r>
    <s v="ORD00271"/>
    <x v="150"/>
    <s v="CUST1126"/>
    <s v="Mary Eze"/>
    <x v="0"/>
    <s v="Ikeja"/>
    <s v="Lagos"/>
    <x v="2"/>
    <x v="6"/>
    <s v="Electronics"/>
    <n v="5"/>
    <n v="674200"/>
    <n v="2603000"/>
    <n v="3371000"/>
    <n v="0"/>
    <n v="0"/>
    <n v="3371000"/>
    <n v="768000"/>
    <x v="0"/>
    <s v="Express"/>
    <s v="Delivered"/>
    <n v="0.227825571047167"/>
  </r>
  <r>
    <s v="ORD00293"/>
    <x v="150"/>
    <s v="CUST1128"/>
    <s v="Yemi Garba"/>
    <x v="1"/>
    <s v="Ilorin"/>
    <s v="Kwara"/>
    <x v="0"/>
    <x v="6"/>
    <s v="Electronics"/>
    <n v="8"/>
    <n v="607900"/>
    <n v="4191200"/>
    <n v="4863200"/>
    <n v="0.05"/>
    <n v="243160"/>
    <n v="4620040"/>
    <n v="428840"/>
    <x v="4"/>
    <s v="Express"/>
    <s v="Delivered"/>
    <n v="9.282170717136648E-2"/>
  </r>
  <r>
    <s v="ORD00340"/>
    <x v="150"/>
    <s v="CUST1225"/>
    <s v="Mary Adeyemi"/>
    <x v="0"/>
    <s v="Ilorin"/>
    <s v="Kwara"/>
    <x v="0"/>
    <x v="10"/>
    <s v="Electronics"/>
    <n v="7"/>
    <n v="262100"/>
    <n v="1517600"/>
    <n v="1834700"/>
    <n v="0.02"/>
    <n v="36694"/>
    <n v="1798006"/>
    <n v="280406"/>
    <x v="3"/>
    <s v="Express"/>
    <s v="Delivered"/>
    <n v="0.1559538733463626"/>
  </r>
  <r>
    <s v="ORD00408"/>
    <x v="150"/>
    <s v="CUST1097"/>
    <s v="Kemi Lawal"/>
    <x v="1"/>
    <s v="Warri"/>
    <s v="Delta"/>
    <x v="1"/>
    <x v="5"/>
    <s v="Furniture"/>
    <n v="2"/>
    <n v="169900"/>
    <n v="252000"/>
    <n v="339800"/>
    <n v="0.05"/>
    <n v="16990"/>
    <n v="322810"/>
    <n v="70810"/>
    <x v="2"/>
    <s v="Express"/>
    <s v="Delivered"/>
    <n v="0.21935503856757849"/>
  </r>
  <r>
    <s v="ORD00088"/>
    <x v="151"/>
    <s v="CUST1161"/>
    <s v="Precious Yusuf"/>
    <x v="0"/>
    <s v="Abuja"/>
    <s v="FCT"/>
    <x v="0"/>
    <x v="8"/>
    <s v="Accessories"/>
    <n v="7"/>
    <n v="83700"/>
    <n v="366100"/>
    <n v="585900"/>
    <n v="0.05"/>
    <n v="29295"/>
    <n v="556605"/>
    <n v="190505"/>
    <x v="2"/>
    <s v="Standard"/>
    <s v="Delivered"/>
    <n v="0.34226246620134559"/>
  </r>
  <r>
    <s v="ORD00112"/>
    <x v="152"/>
    <s v="CUST1150"/>
    <s v="Favour Ogunleye"/>
    <x v="0"/>
    <s v="Enugu"/>
    <s v="Enugu"/>
    <x v="3"/>
    <x v="4"/>
    <s v="Accessories"/>
    <n v="5"/>
    <n v="47100"/>
    <n v="142000"/>
    <n v="235500"/>
    <n v="0.02"/>
    <n v="4710"/>
    <n v="230790"/>
    <n v="88790"/>
    <x v="0"/>
    <s v="Standard"/>
    <s v="Delivered"/>
    <n v="0.38472204168291518"/>
  </r>
  <r>
    <s v="ORD00222"/>
    <x v="152"/>
    <s v="CUST1140"/>
    <s v="Favour Eze"/>
    <x v="1"/>
    <s v="Kano"/>
    <s v="Kano"/>
    <x v="4"/>
    <x v="1"/>
    <s v="Accessories"/>
    <n v="3"/>
    <n v="37500"/>
    <n v="63900"/>
    <n v="112500"/>
    <n v="0"/>
    <n v="0"/>
    <n v="112500"/>
    <n v="48600"/>
    <x v="2"/>
    <s v="Standard"/>
    <s v="Delivered"/>
    <n v="0.432"/>
  </r>
  <r>
    <s v="ORD00352"/>
    <x v="152"/>
    <s v="CUST1200"/>
    <s v="Yemi Williams"/>
    <x v="0"/>
    <s v="Kano"/>
    <s v="Kano"/>
    <x v="4"/>
    <x v="5"/>
    <s v="Furniture"/>
    <n v="1"/>
    <n v="173800"/>
    <n v="124400"/>
    <n v="173800"/>
    <n v="0.05"/>
    <n v="8690"/>
    <n v="165110"/>
    <n v="40710"/>
    <x v="0"/>
    <s v="Standard"/>
    <s v="Delivered"/>
    <n v="0.2465628974622979"/>
  </r>
  <r>
    <s v="ORD00155"/>
    <x v="153"/>
    <s v="CUST1172"/>
    <s v="Tunde Afolabi"/>
    <x v="1"/>
    <s v="Enugu"/>
    <s v="Enugu"/>
    <x v="3"/>
    <x v="0"/>
    <s v="Electronics"/>
    <n v="3"/>
    <n v="423400"/>
    <n v="996000"/>
    <n v="1270200"/>
    <n v="0"/>
    <n v="0"/>
    <n v="1270200"/>
    <n v="274200"/>
    <x v="1"/>
    <s v="Express"/>
    <s v="Delivered"/>
    <n v="0.21587151629664619"/>
  </r>
  <r>
    <s v="ORD00157"/>
    <x v="153"/>
    <s v="CUST1207"/>
    <s v="Yemi Udo"/>
    <x v="1"/>
    <s v="Port Harcourt"/>
    <s v="Rivers"/>
    <x v="1"/>
    <x v="3"/>
    <s v="Accessories"/>
    <n v="3"/>
    <n v="62600"/>
    <n v="126300"/>
    <n v="187800"/>
    <n v="0.05"/>
    <n v="9390"/>
    <n v="178410"/>
    <n v="52110"/>
    <x v="2"/>
    <s v="Pickup"/>
    <s v="Delivered"/>
    <n v="0.29208004035648227"/>
  </r>
  <r>
    <s v="ORD00174"/>
    <x v="153"/>
    <s v="CUST1079"/>
    <s v="Yemi Afolabi"/>
    <x v="1"/>
    <s v="Abeokuta"/>
    <s v="Ogun"/>
    <x v="2"/>
    <x v="10"/>
    <s v="Electronics"/>
    <n v="2"/>
    <n v="272400"/>
    <n v="438800"/>
    <n v="544800"/>
    <n v="0.02"/>
    <n v="10896"/>
    <n v="533904"/>
    <n v="95104"/>
    <x v="2"/>
    <s v="Pickup"/>
    <s v="Delivered"/>
    <n v="0.17812940154035181"/>
  </r>
  <r>
    <s v="ORD00219"/>
    <x v="154"/>
    <s v="CUST1038"/>
    <s v="Samuel Udo"/>
    <x v="0"/>
    <s v="Lagos"/>
    <s v="Lagos"/>
    <x v="2"/>
    <x v="10"/>
    <s v="Electronics"/>
    <n v="7"/>
    <n v="262200"/>
    <n v="1467900"/>
    <n v="1835400"/>
    <n v="0.05"/>
    <n v="91770"/>
    <n v="1743630"/>
    <n v="275730"/>
    <x v="2"/>
    <s v="Pickup"/>
    <s v="Delivered"/>
    <n v="0.15813561363362641"/>
  </r>
  <r>
    <s v="ORD00254"/>
    <x v="154"/>
    <s v="CUST1197"/>
    <s v="Chinedu Balogun"/>
    <x v="0"/>
    <s v="Benin City"/>
    <s v="Edo"/>
    <x v="1"/>
    <x v="9"/>
    <s v="Furniture"/>
    <n v="6"/>
    <n v="115100"/>
    <n v="462600"/>
    <n v="690600"/>
    <n v="0"/>
    <n v="0"/>
    <n v="690600"/>
    <n v="228000"/>
    <x v="1"/>
    <s v="Express"/>
    <s v="Delivered"/>
    <n v="0.3301476976542137"/>
  </r>
  <r>
    <s v="ORD00291"/>
    <x v="154"/>
    <s v="CUST1242"/>
    <s v="Peter Nwosu"/>
    <x v="0"/>
    <s v="Port Harcourt"/>
    <s v="Rivers"/>
    <x v="1"/>
    <x v="6"/>
    <s v="Electronics"/>
    <n v="3"/>
    <n v="675800"/>
    <n v="1598700"/>
    <n v="2027400"/>
    <n v="0"/>
    <n v="0"/>
    <n v="2027400"/>
    <n v="428700"/>
    <x v="0"/>
    <s v="Standard"/>
    <s v="Delivered"/>
    <n v="0.21145309263095591"/>
  </r>
  <r>
    <s v="ORD00422"/>
    <x v="154"/>
    <s v="CUST1121"/>
    <s v="Esther Udo"/>
    <x v="0"/>
    <s v="Ibadan"/>
    <s v="Oyo"/>
    <x v="2"/>
    <x v="3"/>
    <s v="Accessories"/>
    <n v="1"/>
    <n v="65700"/>
    <n v="42300"/>
    <n v="65700"/>
    <n v="0"/>
    <n v="0"/>
    <n v="65700"/>
    <n v="23400"/>
    <x v="1"/>
    <s v="Express"/>
    <s v="Delivered"/>
    <n v="0.35616438356164382"/>
  </r>
  <r>
    <s v="ORD00462"/>
    <x v="154"/>
    <s v="CUST1084"/>
    <s v="Peter Nwosu"/>
    <x v="0"/>
    <s v="Ilorin"/>
    <s v="Kwara"/>
    <x v="0"/>
    <x v="1"/>
    <s v="Accessories"/>
    <n v="6"/>
    <n v="36200"/>
    <n v="121800"/>
    <n v="217200"/>
    <n v="0.05"/>
    <n v="10860"/>
    <n v="206340"/>
    <n v="84540"/>
    <x v="4"/>
    <s v="Express"/>
    <s v="Delivered"/>
    <n v="0.4097121256179122"/>
  </r>
  <r>
    <s v="ORD00224"/>
    <x v="155"/>
    <s v="CUST1008"/>
    <s v="Ibrahim Okoro"/>
    <x v="0"/>
    <s v="Port Harcourt"/>
    <s v="Rivers"/>
    <x v="1"/>
    <x v="7"/>
    <s v="Office Equipment"/>
    <n v="8"/>
    <n v="215000"/>
    <n v="1228800"/>
    <n v="1720000"/>
    <n v="0.05"/>
    <n v="86000"/>
    <n v="1634000"/>
    <n v="405200"/>
    <x v="2"/>
    <s v="Express"/>
    <s v="Delivered"/>
    <n v="0.24798041615667071"/>
  </r>
  <r>
    <s v="ORD00397"/>
    <x v="155"/>
    <s v="CUST1132"/>
    <s v="Esther Udo"/>
    <x v="1"/>
    <s v="Port Harcourt"/>
    <s v="Rivers"/>
    <x v="1"/>
    <x v="2"/>
    <s v="Office Equipment"/>
    <n v="3"/>
    <n v="148900"/>
    <n v="342000"/>
    <n v="446700"/>
    <n v="0.08"/>
    <n v="35736"/>
    <n v="410964"/>
    <n v="68964"/>
    <x v="4"/>
    <s v="Express"/>
    <s v="Delivered"/>
    <n v="0.1678103191520425"/>
  </r>
  <r>
    <s v="ORD00029"/>
    <x v="156"/>
    <s v="CUST1218"/>
    <s v="Precious Johnson"/>
    <x v="1"/>
    <s v="Kano"/>
    <s v="Kano"/>
    <x v="4"/>
    <x v="6"/>
    <s v="Electronics"/>
    <n v="5"/>
    <n v="607800"/>
    <n v="2561000"/>
    <n v="3039000"/>
    <n v="0.1"/>
    <n v="303900"/>
    <n v="2735100"/>
    <n v="174100"/>
    <x v="2"/>
    <s v="Express"/>
    <s v="Delivered"/>
    <n v="6.3653979744799097E-2"/>
  </r>
  <r>
    <s v="ORD00256"/>
    <x v="157"/>
    <s v="CUST1177"/>
    <s v="Michael Johnson"/>
    <x v="1"/>
    <s v="Port Harcourt"/>
    <s v="Rivers"/>
    <x v="1"/>
    <x v="0"/>
    <s v="Electronics"/>
    <n v="2"/>
    <n v="394000"/>
    <n v="664800"/>
    <n v="788000"/>
    <n v="0.05"/>
    <n v="39400"/>
    <n v="748600"/>
    <n v="83800"/>
    <x v="0"/>
    <s v="Standard"/>
    <s v="Delivered"/>
    <n v="0.11194229227892059"/>
  </r>
  <r>
    <s v="ORD00319"/>
    <x v="158"/>
    <s v="CUST1122"/>
    <s v="John Johnson"/>
    <x v="0"/>
    <s v="Kano"/>
    <s v="Kano"/>
    <x v="4"/>
    <x v="9"/>
    <s v="Furniture"/>
    <n v="3"/>
    <n v="123000"/>
    <n v="234600"/>
    <n v="369000"/>
    <n v="0"/>
    <n v="0"/>
    <n v="369000"/>
    <n v="134400"/>
    <x v="2"/>
    <s v="Standard"/>
    <s v="Delivered"/>
    <n v="0.36422764227642279"/>
  </r>
  <r>
    <s v="ORD00044"/>
    <x v="159"/>
    <s v="CUST1239"/>
    <s v="Samuel Obi"/>
    <x v="0"/>
    <s v="Ikeja"/>
    <s v="Lagos"/>
    <x v="2"/>
    <x v="1"/>
    <s v="Accessories"/>
    <n v="3"/>
    <n v="32500"/>
    <n v="60600"/>
    <n v="97500"/>
    <n v="0"/>
    <n v="0"/>
    <n v="97500"/>
    <n v="36900"/>
    <x v="2"/>
    <s v="Pickup"/>
    <s v="Delivered"/>
    <n v="0.37846153846153852"/>
  </r>
  <r>
    <s v="ORD00262"/>
    <x v="160"/>
    <s v="CUST1249"/>
    <s v="Oluwaseun Bello"/>
    <x v="1"/>
    <s v="Warri"/>
    <s v="Delta"/>
    <x v="1"/>
    <x v="0"/>
    <s v="Electronics"/>
    <n v="1"/>
    <n v="441400"/>
    <n v="322900"/>
    <n v="441400"/>
    <n v="0.08"/>
    <n v="35312"/>
    <n v="406088"/>
    <n v="83188"/>
    <x v="1"/>
    <s v="Standard"/>
    <s v="Delivered"/>
    <n v="0.20485215027284731"/>
  </r>
  <r>
    <s v="ORD00331"/>
    <x v="161"/>
    <s v="CUST1010"/>
    <s v="Daniel Obi"/>
    <x v="1"/>
    <s v="Abuja"/>
    <s v="FCT"/>
    <x v="0"/>
    <x v="9"/>
    <s v="Furniture"/>
    <n v="6"/>
    <n v="112300"/>
    <n v="450000"/>
    <n v="673800"/>
    <n v="0.05"/>
    <n v="33690"/>
    <n v="640110"/>
    <n v="190110"/>
    <x v="3"/>
    <s v="Pickup"/>
    <s v="Delivered"/>
    <n v="0.29699582884191777"/>
  </r>
  <r>
    <s v="ORD00465"/>
    <x v="161"/>
    <s v="CUST1053"/>
    <s v="Peter Ojo"/>
    <x v="1"/>
    <s v="Abuja"/>
    <s v="FCT"/>
    <x v="0"/>
    <x v="5"/>
    <s v="Furniture"/>
    <n v="8"/>
    <n v="178400"/>
    <n v="1032000"/>
    <n v="1427200"/>
    <n v="0"/>
    <n v="0"/>
    <n v="1427200"/>
    <n v="395200"/>
    <x v="4"/>
    <s v="Standard"/>
    <s v="Delivered"/>
    <n v="0.27690582959641258"/>
  </r>
  <r>
    <s v="ORD00101"/>
    <x v="162"/>
    <s v="CUST1180"/>
    <s v="Michael Johnson"/>
    <x v="1"/>
    <s v="Ilorin"/>
    <s v="Kwara"/>
    <x v="0"/>
    <x v="5"/>
    <s v="Furniture"/>
    <n v="2"/>
    <n v="190700"/>
    <n v="259400"/>
    <n v="381400"/>
    <n v="0.1"/>
    <n v="38140"/>
    <n v="343260"/>
    <n v="83860"/>
    <x v="3"/>
    <s v="Standard"/>
    <s v="Delivered"/>
    <n v="0.24430460875138379"/>
  </r>
  <r>
    <s v="ORD00175"/>
    <x v="162"/>
    <s v="CUST1006"/>
    <s v="Ibrahim Garba"/>
    <x v="0"/>
    <s v="Ikeja"/>
    <s v="Lagos"/>
    <x v="2"/>
    <x v="2"/>
    <s v="Office Equipment"/>
    <n v="1"/>
    <n v="149600"/>
    <n v="110600"/>
    <n v="149600"/>
    <n v="0"/>
    <n v="0"/>
    <n v="149600"/>
    <n v="39000"/>
    <x v="2"/>
    <s v="Standard"/>
    <s v="Delivered"/>
    <n v="0.26069518716577539"/>
  </r>
  <r>
    <s v="ORD00012"/>
    <x v="163"/>
    <s v="CUST1180"/>
    <s v="Samuel Nwosu"/>
    <x v="1"/>
    <s v="Lagos"/>
    <s v="Lagos"/>
    <x v="2"/>
    <x v="4"/>
    <s v="Accessories"/>
    <n v="3"/>
    <n v="43300"/>
    <n v="82200"/>
    <n v="129900"/>
    <n v="0"/>
    <n v="0"/>
    <n v="129900"/>
    <n v="47700"/>
    <x v="2"/>
    <s v="Express"/>
    <s v="Delivered"/>
    <n v="0.3672055427251732"/>
  </r>
  <r>
    <s v="ORD00310"/>
    <x v="163"/>
    <s v="CUST1177"/>
    <s v="Daniel Lawal"/>
    <x v="1"/>
    <s v="Port Harcourt"/>
    <s v="Rivers"/>
    <x v="1"/>
    <x v="1"/>
    <s v="Accessories"/>
    <n v="6"/>
    <n v="32600"/>
    <n v="121200"/>
    <n v="195600"/>
    <n v="0.05"/>
    <n v="9780"/>
    <n v="185820"/>
    <n v="64620"/>
    <x v="0"/>
    <s v="Pickup"/>
    <s v="Delivered"/>
    <n v="0.34775589279948338"/>
  </r>
  <r>
    <s v="ORD00453"/>
    <x v="164"/>
    <s v="CUST1206"/>
    <s v="Precious Garba"/>
    <x v="1"/>
    <s v="Kano"/>
    <s v="Kano"/>
    <x v="4"/>
    <x v="10"/>
    <s v="Electronics"/>
    <n v="6"/>
    <n v="297700"/>
    <n v="1338000"/>
    <n v="1786200"/>
    <n v="0"/>
    <n v="0"/>
    <n v="1786200"/>
    <n v="448200"/>
    <x v="0"/>
    <s v="Express"/>
    <s v="Delivered"/>
    <n v="0.25092374874034262"/>
  </r>
  <r>
    <s v="ORD00002"/>
    <x v="165"/>
    <s v="CUST1089"/>
    <s v="Samuel Eze"/>
    <x v="1"/>
    <s v="Port Harcourt"/>
    <s v="Rivers"/>
    <x v="1"/>
    <x v="2"/>
    <s v="Office Equipment"/>
    <n v="2"/>
    <n v="151900"/>
    <n v="218400"/>
    <n v="303800"/>
    <n v="0"/>
    <n v="0"/>
    <n v="303800"/>
    <n v="85400"/>
    <x v="1"/>
    <s v="Standard"/>
    <s v="Delivered"/>
    <n v="0.28110599078341009"/>
  </r>
  <r>
    <s v="ORD00047"/>
    <x v="165"/>
    <s v="CUST1133"/>
    <s v="Samuel Ojo"/>
    <x v="0"/>
    <s v="Abuja"/>
    <s v="FCT"/>
    <x v="0"/>
    <x v="6"/>
    <s v="Electronics"/>
    <n v="2"/>
    <n v="647500"/>
    <n v="1067600"/>
    <n v="1295000"/>
    <n v="0"/>
    <n v="0"/>
    <n v="1295000"/>
    <n v="227400"/>
    <x v="2"/>
    <s v="Express"/>
    <s v="Delivered"/>
    <n v="0.17559845559845561"/>
  </r>
  <r>
    <s v="ORD00061"/>
    <x v="165"/>
    <s v="CUST1178"/>
    <s v="Oluwaseun Obi"/>
    <x v="0"/>
    <s v="Enugu"/>
    <s v="Enugu"/>
    <x v="3"/>
    <x v="5"/>
    <s v="Furniture"/>
    <n v="6"/>
    <n v="177500"/>
    <n v="741000"/>
    <n v="1065000"/>
    <n v="0.08"/>
    <n v="85200"/>
    <n v="979800"/>
    <n v="238800"/>
    <x v="0"/>
    <s v="Standard"/>
    <s v="Delivered"/>
    <n v="0.24372320881812609"/>
  </r>
  <r>
    <s v="ORD00139"/>
    <x v="166"/>
    <s v="CUST1066"/>
    <s v="John Adebayo"/>
    <x v="0"/>
    <s v="Kano"/>
    <s v="Kano"/>
    <x v="4"/>
    <x v="5"/>
    <s v="Furniture"/>
    <n v="6"/>
    <n v="170200"/>
    <n v="723600"/>
    <n v="1021200"/>
    <n v="0"/>
    <n v="0"/>
    <n v="1021200"/>
    <n v="297600"/>
    <x v="4"/>
    <s v="Standard"/>
    <s v="Delivered"/>
    <n v="0.29142185663924802"/>
  </r>
  <r>
    <s v="ORD00245"/>
    <x v="167"/>
    <s v="CUST1169"/>
    <s v="Favour Yusuf"/>
    <x v="0"/>
    <s v="Abeokuta"/>
    <s v="Ogun"/>
    <x v="2"/>
    <x v="6"/>
    <s v="Electronics"/>
    <n v="3"/>
    <n v="689800"/>
    <n v="1504200"/>
    <n v="2069400"/>
    <n v="0"/>
    <n v="0"/>
    <n v="2069400"/>
    <n v="565200"/>
    <x v="2"/>
    <s v="Standard"/>
    <s v="Delivered"/>
    <n v="0.27312264424470861"/>
  </r>
  <r>
    <s v="ORD00439"/>
    <x v="167"/>
    <s v="CUST1159"/>
    <s v="Peter Williams"/>
    <x v="1"/>
    <s v="Abeokuta"/>
    <s v="Ogun"/>
    <x v="2"/>
    <x v="10"/>
    <s v="Electronics"/>
    <n v="7"/>
    <n v="269100"/>
    <n v="1557500"/>
    <n v="1883700"/>
    <n v="0"/>
    <n v="0"/>
    <n v="1883700"/>
    <n v="326200"/>
    <x v="2"/>
    <s v="Pickup"/>
    <s v="Delivered"/>
    <n v="0.1731698253437384"/>
  </r>
  <r>
    <s v="ORD00393"/>
    <x v="168"/>
    <s v="CUST1013"/>
    <s v="Amina Adebayo"/>
    <x v="1"/>
    <s v="Onitsha"/>
    <s v="Anambra"/>
    <x v="3"/>
    <x v="1"/>
    <s v="Accessories"/>
    <n v="2"/>
    <n v="36500"/>
    <n v="41600"/>
    <n v="73000"/>
    <n v="0"/>
    <n v="0"/>
    <n v="73000"/>
    <n v="31400"/>
    <x v="2"/>
    <s v="Standard"/>
    <s v="Delivered"/>
    <n v="0.43013698630136987"/>
  </r>
  <r>
    <s v="ORD00493"/>
    <x v="168"/>
    <s v="CUST1166"/>
    <s v="Chinedu Nwosu"/>
    <x v="0"/>
    <s v="Ikeja"/>
    <s v="Lagos"/>
    <x v="2"/>
    <x v="4"/>
    <s v="Accessories"/>
    <n v="5"/>
    <n v="45900"/>
    <n v="138500"/>
    <n v="229500"/>
    <n v="0.1"/>
    <n v="22950"/>
    <n v="206550"/>
    <n v="68050"/>
    <x v="1"/>
    <s v="Standard"/>
    <s v="Delivered"/>
    <n v="0.32946017913338183"/>
  </r>
  <r>
    <s v="ORD00039"/>
    <x v="169"/>
    <s v="CUST1220"/>
    <s v="Yemi Williams"/>
    <x v="1"/>
    <s v="Warri"/>
    <s v="Delta"/>
    <x v="1"/>
    <x v="3"/>
    <s v="Accessories"/>
    <n v="3"/>
    <n v="62400"/>
    <n v="124200"/>
    <n v="187200"/>
    <n v="0"/>
    <n v="0"/>
    <n v="187200"/>
    <n v="63000"/>
    <x v="4"/>
    <s v="Express"/>
    <s v="Delivered"/>
    <n v="0.33653846153846162"/>
  </r>
  <r>
    <s v="ORD00100"/>
    <x v="169"/>
    <s v="CUST1068"/>
    <s v="Samuel Musa"/>
    <x v="1"/>
    <s v="Kano"/>
    <s v="Kano"/>
    <x v="4"/>
    <x v="7"/>
    <s v="Office Equipment"/>
    <n v="4"/>
    <n v="199200"/>
    <n v="612000"/>
    <n v="796800"/>
    <n v="0.05"/>
    <n v="39840"/>
    <n v="756960"/>
    <n v="144960"/>
    <x v="4"/>
    <s v="Standard"/>
    <s v="Delivered"/>
    <n v="0.19150285351934049"/>
  </r>
  <r>
    <s v="ORD00132"/>
    <x v="169"/>
    <s v="CUST1069"/>
    <s v="Peter Nwosu"/>
    <x v="0"/>
    <s v="Enugu"/>
    <s v="Enugu"/>
    <x v="3"/>
    <x v="3"/>
    <s v="Accessories"/>
    <n v="3"/>
    <n v="68700"/>
    <n v="127800"/>
    <n v="206100"/>
    <n v="0.05"/>
    <n v="10305"/>
    <n v="195795"/>
    <n v="67995"/>
    <x v="3"/>
    <s v="Standard"/>
    <s v="Delivered"/>
    <n v="0.34727648816364048"/>
  </r>
  <r>
    <s v="ORD00267"/>
    <x v="169"/>
    <s v="CUST1199"/>
    <s v="Daniel Yusuf"/>
    <x v="0"/>
    <s v="Port Harcourt"/>
    <s v="Rivers"/>
    <x v="1"/>
    <x v="3"/>
    <s v="Accessories"/>
    <n v="6"/>
    <n v="61000"/>
    <n v="252600"/>
    <n v="366000"/>
    <n v="0.05"/>
    <n v="18300"/>
    <n v="347700"/>
    <n v="95100"/>
    <x v="2"/>
    <s v="Express"/>
    <s v="Pending"/>
    <n v="0.27351164797239003"/>
  </r>
  <r>
    <s v="ORD00332"/>
    <x v="170"/>
    <s v="CUST1018"/>
    <s v="Daniel Ojo"/>
    <x v="1"/>
    <s v="Ikeja"/>
    <s v="Lagos"/>
    <x v="2"/>
    <x v="0"/>
    <s v="Electronics"/>
    <n v="4"/>
    <n v="388800"/>
    <n v="1385600"/>
    <n v="1555200"/>
    <n v="0"/>
    <n v="0"/>
    <n v="1555200"/>
    <n v="169600"/>
    <x v="3"/>
    <s v="Standard"/>
    <s v="Delivered"/>
    <n v="0.10905349794238681"/>
  </r>
  <r>
    <s v="ORD00434"/>
    <x v="171"/>
    <s v="CUST1182"/>
    <s v="Daniel Bello"/>
    <x v="0"/>
    <s v="Abuja"/>
    <s v="FCT"/>
    <x v="0"/>
    <x v="6"/>
    <s v="Electronics"/>
    <n v="5"/>
    <n v="629400"/>
    <n v="2504000"/>
    <n v="3147000"/>
    <n v="0.02"/>
    <n v="62940"/>
    <n v="3084060"/>
    <n v="580060"/>
    <x v="0"/>
    <s v="Standard"/>
    <s v="Delivered"/>
    <n v="0.18808324092267981"/>
  </r>
  <r>
    <s v="ORD00249"/>
    <x v="172"/>
    <s v="CUST1003"/>
    <s v="Samuel Nwosu"/>
    <x v="0"/>
    <s v="Ikeja"/>
    <s v="Lagos"/>
    <x v="2"/>
    <x v="3"/>
    <s v="Accessories"/>
    <n v="3"/>
    <n v="60300"/>
    <n v="122400"/>
    <n v="180900"/>
    <n v="0"/>
    <n v="0"/>
    <n v="180900"/>
    <n v="58500"/>
    <x v="4"/>
    <s v="Pickup"/>
    <s v="Delivered"/>
    <n v="0.32338308457711451"/>
  </r>
  <r>
    <s v="ORD00057"/>
    <x v="173"/>
    <s v="CUST1131"/>
    <s v="Tunde Williams"/>
    <x v="0"/>
    <s v="Abeokuta"/>
    <s v="Ogun"/>
    <x v="2"/>
    <x v="3"/>
    <s v="Accessories"/>
    <n v="6"/>
    <n v="61700"/>
    <n v="247800"/>
    <n v="370200"/>
    <n v="0"/>
    <n v="0"/>
    <n v="370200"/>
    <n v="122400"/>
    <x v="1"/>
    <s v="Pickup"/>
    <s v="Pending"/>
    <n v="0.33063209076175037"/>
  </r>
  <r>
    <s v="ORD00329"/>
    <x v="173"/>
    <s v="CUST1011"/>
    <s v="Ngozi Eze"/>
    <x v="1"/>
    <s v="Benin City"/>
    <s v="Edo"/>
    <x v="1"/>
    <x v="9"/>
    <s v="Furniture"/>
    <n v="8"/>
    <n v="123300"/>
    <n v="639200"/>
    <n v="986400"/>
    <n v="0.08"/>
    <n v="78912"/>
    <n v="907488"/>
    <n v="268288"/>
    <x v="4"/>
    <s v="Express"/>
    <s v="Delivered"/>
    <n v="0.29563806904333723"/>
  </r>
  <r>
    <s v="ORD00207"/>
    <x v="174"/>
    <s v="CUST1152"/>
    <s v="Tunde Bello"/>
    <x v="0"/>
    <s v="Ilorin"/>
    <s v="Kwara"/>
    <x v="0"/>
    <x v="5"/>
    <s v="Furniture"/>
    <n v="4"/>
    <n v="177200"/>
    <n v="519600"/>
    <n v="708800"/>
    <n v="0.08"/>
    <n v="56704"/>
    <n v="652096"/>
    <n v="132496"/>
    <x v="0"/>
    <s v="Pickup"/>
    <s v="Delivered"/>
    <n v="0.20318480714496029"/>
  </r>
  <r>
    <s v="ORD00244"/>
    <x v="174"/>
    <s v="CUST1188"/>
    <s v="Grace Bello"/>
    <x v="0"/>
    <s v="Warri"/>
    <s v="Delta"/>
    <x v="1"/>
    <x v="10"/>
    <s v="Electronics"/>
    <n v="5"/>
    <n v="259300"/>
    <n v="1043000"/>
    <n v="1296500"/>
    <n v="0.05"/>
    <n v="64825"/>
    <n v="1231675"/>
    <n v="188675"/>
    <x v="0"/>
    <s v="Standard"/>
    <s v="Delivered"/>
    <n v="0.1531857023971421"/>
  </r>
  <r>
    <s v="ORD00145"/>
    <x v="175"/>
    <s v="CUST1097"/>
    <s v="Esther Okoro"/>
    <x v="0"/>
    <s v="Onitsha"/>
    <s v="Anambra"/>
    <x v="3"/>
    <x v="4"/>
    <s v="Accessories"/>
    <n v="3"/>
    <n v="41900"/>
    <n v="85800"/>
    <n v="125700"/>
    <n v="0"/>
    <n v="0"/>
    <n v="125700"/>
    <n v="39900"/>
    <x v="3"/>
    <s v="Express"/>
    <s v="Delivered"/>
    <n v="0.31742243436754181"/>
  </r>
  <r>
    <s v="ORD00043"/>
    <x v="176"/>
    <s v="CUST1134"/>
    <s v="Sarah Lawal"/>
    <x v="0"/>
    <s v="Lagos"/>
    <s v="Lagos"/>
    <x v="2"/>
    <x v="8"/>
    <s v="Accessories"/>
    <n v="5"/>
    <n v="89300"/>
    <n v="264000"/>
    <n v="446500"/>
    <n v="0"/>
    <n v="0"/>
    <n v="446500"/>
    <n v="182500"/>
    <x v="4"/>
    <s v="Standard"/>
    <s v="Pending"/>
    <n v="0.40873460246360582"/>
  </r>
  <r>
    <s v="ORD00359"/>
    <x v="176"/>
    <s v="CUST1152"/>
    <s v="Tunde Okoro"/>
    <x v="0"/>
    <s v="Abuja"/>
    <s v="FCT"/>
    <x v="0"/>
    <x v="0"/>
    <s v="Electronics"/>
    <n v="4"/>
    <n v="423500"/>
    <n v="1350400"/>
    <n v="1694000"/>
    <n v="0.08"/>
    <n v="135520"/>
    <n v="1558480"/>
    <n v="208080"/>
    <x v="0"/>
    <s v="Standard"/>
    <s v="Delivered"/>
    <n v="0.1335147066372363"/>
  </r>
  <r>
    <s v="ORD00416"/>
    <x v="176"/>
    <s v="CUST1154"/>
    <s v="Mary Adebayo"/>
    <x v="0"/>
    <s v="Warri"/>
    <s v="Delta"/>
    <x v="1"/>
    <x v="0"/>
    <s v="Electronics"/>
    <n v="1"/>
    <n v="436700"/>
    <n v="334500"/>
    <n v="436700"/>
    <n v="0"/>
    <n v="0"/>
    <n v="0"/>
    <n v="0"/>
    <x v="2"/>
    <s v="Pickup"/>
    <s v="Cancelled"/>
    <n v="0"/>
  </r>
  <r>
    <s v="ORD00486"/>
    <x v="176"/>
    <s v="CUST1030"/>
    <s v="John Adebayo"/>
    <x v="0"/>
    <s v="Lagos"/>
    <s v="Lagos"/>
    <x v="2"/>
    <x v="1"/>
    <s v="Accessories"/>
    <n v="6"/>
    <n v="35100"/>
    <n v="123000"/>
    <n v="210600"/>
    <n v="0.05"/>
    <n v="10530"/>
    <n v="200070"/>
    <n v="77070"/>
    <x v="4"/>
    <s v="Standard"/>
    <s v="Delivered"/>
    <n v="0.38521517468885891"/>
  </r>
  <r>
    <s v="ORD00065"/>
    <x v="177"/>
    <s v="CUST1196"/>
    <s v="Chinedu Eze"/>
    <x v="0"/>
    <s v="Abeokuta"/>
    <s v="Ogun"/>
    <x v="2"/>
    <x v="7"/>
    <s v="Office Equipment"/>
    <n v="5"/>
    <n v="198300"/>
    <n v="738500"/>
    <n v="991500"/>
    <n v="0"/>
    <n v="0"/>
    <n v="991500"/>
    <n v="253000"/>
    <x v="4"/>
    <s v="Standard"/>
    <s v="Delivered"/>
    <n v="0.25516893595562279"/>
  </r>
  <r>
    <s v="ORD00431"/>
    <x v="177"/>
    <s v="CUST1188"/>
    <s v="John Balogun"/>
    <x v="0"/>
    <s v="Ikeja"/>
    <s v="Lagos"/>
    <x v="2"/>
    <x v="5"/>
    <s v="Furniture"/>
    <n v="7"/>
    <n v="185300"/>
    <n v="905100"/>
    <n v="1297100"/>
    <n v="0.02"/>
    <n v="25942"/>
    <n v="1271158"/>
    <n v="366058"/>
    <x v="4"/>
    <s v="Pickup"/>
    <s v="Delivered"/>
    <n v="0.28797206956176968"/>
  </r>
  <r>
    <s v="ORD00075"/>
    <x v="178"/>
    <s v="CUST1072"/>
    <s v="Peter Bello"/>
    <x v="1"/>
    <s v="Kano"/>
    <s v="Kano"/>
    <x v="4"/>
    <x v="6"/>
    <s v="Electronics"/>
    <n v="8"/>
    <n v="672500"/>
    <n v="4212800"/>
    <n v="5380000"/>
    <n v="0"/>
    <n v="0"/>
    <n v="5380000"/>
    <n v="1167200"/>
    <x v="4"/>
    <s v="Standard"/>
    <s v="Delivered"/>
    <n v="0.21695167286245351"/>
  </r>
  <r>
    <s v="ORD00361"/>
    <x v="178"/>
    <s v="CUST1199"/>
    <s v="Amina Yusuf"/>
    <x v="0"/>
    <s v="Port Harcourt"/>
    <s v="Rivers"/>
    <x v="1"/>
    <x v="2"/>
    <s v="Office Equipment"/>
    <n v="3"/>
    <n v="167500"/>
    <n v="347100"/>
    <n v="502500"/>
    <n v="0"/>
    <n v="0"/>
    <n v="502500"/>
    <n v="155400"/>
    <x v="4"/>
    <s v="Express"/>
    <s v="Delivered"/>
    <n v="0.3092537313432836"/>
  </r>
  <r>
    <s v="ORD00437"/>
    <x v="178"/>
    <s v="CUST1173"/>
    <s v="Sarah Balogun"/>
    <x v="1"/>
    <s v="Ibadan"/>
    <s v="Oyo"/>
    <x v="2"/>
    <x v="0"/>
    <s v="Electronics"/>
    <n v="6"/>
    <n v="401100"/>
    <n v="1981800"/>
    <n v="2406600"/>
    <n v="0.05"/>
    <n v="120330"/>
    <n v="2286270"/>
    <n v="304470"/>
    <x v="1"/>
    <s v="Standard"/>
    <s v="Delivered"/>
    <n v="0.1331732472542613"/>
  </r>
  <r>
    <s v="ORD00136"/>
    <x v="179"/>
    <s v="CUST1102"/>
    <s v="Samuel Okafor"/>
    <x v="0"/>
    <s v="Port Harcourt"/>
    <s v="Rivers"/>
    <x v="1"/>
    <x v="5"/>
    <s v="Furniture"/>
    <n v="4"/>
    <n v="174900"/>
    <n v="493200"/>
    <n v="699600"/>
    <n v="0.05"/>
    <n v="0"/>
    <n v="0"/>
    <n v="0"/>
    <x v="2"/>
    <s v="Standard"/>
    <s v="Cancelled"/>
    <n v="0"/>
  </r>
  <r>
    <s v="ORD00382"/>
    <x v="179"/>
    <s v="CUST1093"/>
    <s v="Ngozi Okoro"/>
    <x v="0"/>
    <s v="Ibadan"/>
    <s v="Oyo"/>
    <x v="2"/>
    <x v="1"/>
    <s v="Accessories"/>
    <n v="1"/>
    <n v="37200"/>
    <n v="20900"/>
    <n v="37200"/>
    <n v="0.02"/>
    <n v="744"/>
    <n v="36456"/>
    <n v="15556"/>
    <x v="4"/>
    <s v="Standard"/>
    <s v="Delivered"/>
    <n v="0.42670616633750269"/>
  </r>
  <r>
    <s v="ORD00448"/>
    <x v="179"/>
    <s v="CUST1063"/>
    <s v="Esther Lawal"/>
    <x v="0"/>
    <s v="Warri"/>
    <s v="Delta"/>
    <x v="1"/>
    <x v="1"/>
    <s v="Accessories"/>
    <n v="6"/>
    <n v="33100"/>
    <n v="130800"/>
    <n v="198600"/>
    <n v="0.02"/>
    <n v="3972"/>
    <n v="194628"/>
    <n v="63828"/>
    <x v="1"/>
    <s v="Standard"/>
    <s v="Delivered"/>
    <n v="0.32794870213946598"/>
  </r>
  <r>
    <s v="ORD00046"/>
    <x v="180"/>
    <s v="CUST1190"/>
    <s v="Amina Nwosu"/>
    <x v="0"/>
    <s v="Ibadan"/>
    <s v="Oyo"/>
    <x v="2"/>
    <x v="9"/>
    <s v="Furniture"/>
    <n v="1"/>
    <n v="115000"/>
    <n v="76200"/>
    <n v="115000"/>
    <n v="0"/>
    <n v="0"/>
    <n v="115000"/>
    <n v="38800"/>
    <x v="0"/>
    <s v="Standard"/>
    <s v="Delivered"/>
    <n v="0.3373913043478261"/>
  </r>
  <r>
    <s v="ORD00214"/>
    <x v="180"/>
    <s v="CUST1158"/>
    <s v="Grace Obi"/>
    <x v="1"/>
    <s v="Lagos"/>
    <s v="Lagos"/>
    <x v="2"/>
    <x v="5"/>
    <s v="Furniture"/>
    <n v="4"/>
    <n v="185800"/>
    <n v="484000"/>
    <n v="743200"/>
    <n v="0"/>
    <n v="0"/>
    <n v="743200"/>
    <n v="259200"/>
    <x v="0"/>
    <s v="Express"/>
    <s v="Delivered"/>
    <n v="0.348762109795479"/>
  </r>
  <r>
    <s v="ORD00360"/>
    <x v="180"/>
    <s v="CUST1165"/>
    <s v="Samuel Johnson"/>
    <x v="0"/>
    <s v="Ikeja"/>
    <s v="Lagos"/>
    <x v="2"/>
    <x v="7"/>
    <s v="Office Equipment"/>
    <n v="4"/>
    <n v="203200"/>
    <n v="582800"/>
    <n v="812800"/>
    <n v="0"/>
    <n v="0"/>
    <n v="812800"/>
    <n v="230000"/>
    <x v="4"/>
    <s v="Express"/>
    <s v="Delivered"/>
    <n v="0.28297244094488189"/>
  </r>
  <r>
    <s v="ORD00007"/>
    <x v="181"/>
    <s v="CUST1234"/>
    <s v="Ibrahim Ogunleye"/>
    <x v="0"/>
    <s v="Enugu"/>
    <s v="Enugu"/>
    <x v="3"/>
    <x v="0"/>
    <s v="Electronics"/>
    <n v="7"/>
    <n v="441200"/>
    <n v="2383500"/>
    <n v="3088400"/>
    <n v="0.05"/>
    <n v="154420"/>
    <n v="2933980"/>
    <n v="550480"/>
    <x v="3"/>
    <s v="Standard"/>
    <s v="Delivered"/>
    <n v="0.18762227418046479"/>
  </r>
  <r>
    <s v="ORD00095"/>
    <x v="181"/>
    <s v="CUST1139"/>
    <s v="Chinedu Balogun"/>
    <x v="1"/>
    <s v="Onitsha"/>
    <s v="Anambra"/>
    <x v="3"/>
    <x v="0"/>
    <s v="Electronics"/>
    <n v="3"/>
    <n v="450600"/>
    <n v="1034100"/>
    <n v="1351800"/>
    <n v="0.05"/>
    <n v="67590"/>
    <n v="1284210"/>
    <n v="250110"/>
    <x v="4"/>
    <s v="Standard"/>
    <s v="Delivered"/>
    <n v="0.19475786670404369"/>
  </r>
  <r>
    <s v="ORD00469"/>
    <x v="181"/>
    <s v="CUST1015"/>
    <s v="Precious Adeyemi"/>
    <x v="1"/>
    <s v="Abuja"/>
    <s v="FCT"/>
    <x v="0"/>
    <x v="11"/>
    <s v="Furniture"/>
    <n v="5"/>
    <n v="249600"/>
    <n v="838000"/>
    <n v="1248000"/>
    <n v="0"/>
    <n v="0"/>
    <n v="1248000"/>
    <n v="410000"/>
    <x v="0"/>
    <s v="Express"/>
    <s v="Delivered"/>
    <n v="0.32852564102564102"/>
  </r>
  <r>
    <s v="ORD00458"/>
    <x v="182"/>
    <s v="CUST1017"/>
    <s v="Esther Williams"/>
    <x v="1"/>
    <s v="Enugu"/>
    <s v="Enugu"/>
    <x v="3"/>
    <x v="3"/>
    <s v="Accessories"/>
    <n v="4"/>
    <n v="64300"/>
    <n v="162400"/>
    <n v="257200"/>
    <n v="0.05"/>
    <n v="12860"/>
    <n v="244340"/>
    <n v="81940"/>
    <x v="4"/>
    <s v="Pickup"/>
    <s v="Delivered"/>
    <n v="0.33535237783416549"/>
  </r>
  <r>
    <s v="ORD00130"/>
    <x v="183"/>
    <s v="CUST1054"/>
    <s v="Amina Musa"/>
    <x v="1"/>
    <s v="Enugu"/>
    <s v="Enugu"/>
    <x v="3"/>
    <x v="11"/>
    <s v="Furniture"/>
    <n v="1"/>
    <n v="242600"/>
    <n v="161800"/>
    <n v="242600"/>
    <n v="0.1"/>
    <n v="24260"/>
    <n v="218340"/>
    <n v="56540"/>
    <x v="4"/>
    <s v="Pickup"/>
    <s v="Delivered"/>
    <n v="0.25895392507099019"/>
  </r>
  <r>
    <s v="ORD00354"/>
    <x v="183"/>
    <s v="CUST1011"/>
    <s v="Ibrahim Okoro"/>
    <x v="1"/>
    <s v="Port Harcourt"/>
    <s v="Rivers"/>
    <x v="1"/>
    <x v="10"/>
    <s v="Electronics"/>
    <n v="1"/>
    <n v="285100"/>
    <n v="221800"/>
    <n v="285100"/>
    <n v="0.05"/>
    <n v="14255"/>
    <n v="270845"/>
    <n v="49045"/>
    <x v="4"/>
    <s v="Standard"/>
    <s v="Delivered"/>
    <n v="0.18108143033838539"/>
  </r>
  <r>
    <s v="ORD00218"/>
    <x v="184"/>
    <s v="CUST1210"/>
    <s v="Michael Afolabi"/>
    <x v="0"/>
    <s v="Abeokuta"/>
    <s v="Ogun"/>
    <x v="2"/>
    <x v="4"/>
    <s v="Accessories"/>
    <n v="5"/>
    <n v="47200"/>
    <n v="140500"/>
    <n v="236000"/>
    <n v="0.02"/>
    <n v="4720"/>
    <n v="231280"/>
    <n v="90780"/>
    <x v="3"/>
    <s v="Express"/>
    <s v="Delivered"/>
    <n v="0.39251124178484947"/>
  </r>
  <r>
    <s v="ORD00238"/>
    <x v="185"/>
    <s v="CUST1182"/>
    <s v="Chinedu Lawal"/>
    <x v="0"/>
    <s v="Benin City"/>
    <s v="Edo"/>
    <x v="1"/>
    <x v="0"/>
    <s v="Electronics"/>
    <n v="3"/>
    <n v="388400"/>
    <n v="1003500"/>
    <n v="1165200"/>
    <n v="0.05"/>
    <n v="58260"/>
    <n v="1106940"/>
    <n v="103440"/>
    <x v="2"/>
    <s v="Standard"/>
    <s v="Delivered"/>
    <n v="9.3446799284514062E-2"/>
  </r>
  <r>
    <s v="ORD00144"/>
    <x v="186"/>
    <s v="CUST1089"/>
    <s v="Chinedu Obi"/>
    <x v="0"/>
    <s v="Ilorin"/>
    <s v="Kwara"/>
    <x v="0"/>
    <x v="6"/>
    <s v="Electronics"/>
    <n v="6"/>
    <n v="660700"/>
    <n v="3086400"/>
    <n v="3964200"/>
    <n v="0"/>
    <n v="0"/>
    <n v="3964200"/>
    <n v="877800"/>
    <x v="4"/>
    <s v="Standard"/>
    <s v="Delivered"/>
    <n v="0.2214318147419404"/>
  </r>
  <r>
    <s v="ORD00368"/>
    <x v="186"/>
    <s v="CUST1235"/>
    <s v="Precious Afolabi"/>
    <x v="0"/>
    <s v="Warri"/>
    <s v="Delta"/>
    <x v="1"/>
    <x v="7"/>
    <s v="Office Equipment"/>
    <n v="6"/>
    <n v="220800"/>
    <n v="928800"/>
    <n v="1324800"/>
    <n v="0.02"/>
    <n v="26496"/>
    <n v="1298304"/>
    <n v="369504"/>
    <x v="2"/>
    <s v="Pickup"/>
    <s v="Delivered"/>
    <n v="0.28460514640638862"/>
  </r>
  <r>
    <s v="ORD00353"/>
    <x v="187"/>
    <s v="CUST1154"/>
    <s v="Kemi Obi"/>
    <x v="1"/>
    <s v="Kano"/>
    <s v="Kano"/>
    <x v="4"/>
    <x v="5"/>
    <s v="Furniture"/>
    <n v="1"/>
    <n v="168100"/>
    <n v="120600"/>
    <n v="168100"/>
    <n v="0"/>
    <n v="0"/>
    <n v="168100"/>
    <n v="47500"/>
    <x v="2"/>
    <s v="Express"/>
    <s v="Delivered"/>
    <n v="0.28256989886972039"/>
  </r>
  <r>
    <s v="ORD00281"/>
    <x v="188"/>
    <s v="CUST1011"/>
    <s v="Precious Williams"/>
    <x v="0"/>
    <s v="Abuja"/>
    <s v="FCT"/>
    <x v="0"/>
    <x v="5"/>
    <s v="Furniture"/>
    <n v="4"/>
    <n v="190200"/>
    <n v="501600"/>
    <n v="760800"/>
    <n v="0.05"/>
    <n v="38040"/>
    <n v="722760"/>
    <n v="221160"/>
    <x v="0"/>
    <s v="Express"/>
    <s v="Delivered"/>
    <n v="0.305993690851735"/>
  </r>
  <r>
    <s v="ORD00005"/>
    <x v="189"/>
    <s v="CUST1095"/>
    <s v="Precious Balogun"/>
    <x v="1"/>
    <s v="Abeokuta"/>
    <s v="Ogun"/>
    <x v="2"/>
    <x v="0"/>
    <s v="Electronics"/>
    <n v="6"/>
    <n v="388500"/>
    <n v="2065200"/>
    <n v="2331000"/>
    <n v="0"/>
    <n v="0"/>
    <n v="2331000"/>
    <n v="265800"/>
    <x v="0"/>
    <s v="Standard"/>
    <s v="Delivered"/>
    <n v="0.114028314028314"/>
  </r>
  <r>
    <s v="ORD00276"/>
    <x v="190"/>
    <s v="CUST1131"/>
    <s v="Mary Afolabi"/>
    <x v="0"/>
    <s v="Port Harcourt"/>
    <s v="Rivers"/>
    <x v="1"/>
    <x v="0"/>
    <s v="Electronics"/>
    <n v="1"/>
    <n v="422100"/>
    <n v="335300"/>
    <n v="422100"/>
    <n v="0.05"/>
    <n v="21105"/>
    <n v="400995"/>
    <n v="65695"/>
    <x v="3"/>
    <s v="Pickup"/>
    <s v="Delivered"/>
    <n v="0.163829972942306"/>
  </r>
  <r>
    <s v="ORD00420"/>
    <x v="190"/>
    <s v="CUST1131"/>
    <s v="Grace Nwosu"/>
    <x v="0"/>
    <s v="Ilorin"/>
    <s v="Kwara"/>
    <x v="0"/>
    <x v="7"/>
    <s v="Office Equipment"/>
    <n v="7"/>
    <n v="207700"/>
    <n v="1022000"/>
    <n v="1453900"/>
    <n v="0.05"/>
    <n v="72695"/>
    <n v="1381205"/>
    <n v="359205"/>
    <x v="4"/>
    <s v="Pickup"/>
    <s v="Delivered"/>
    <n v="0.2600663913032461"/>
  </r>
  <r>
    <s v="ORD00247"/>
    <x v="191"/>
    <s v="CUST1068"/>
    <s v="Precious Garba"/>
    <x v="0"/>
    <s v="Ikeja"/>
    <s v="Lagos"/>
    <x v="2"/>
    <x v="6"/>
    <s v="Electronics"/>
    <n v="7"/>
    <n v="651800"/>
    <n v="3572800"/>
    <n v="4562600"/>
    <n v="0.05"/>
    <n v="228130"/>
    <n v="4334470"/>
    <n v="761670"/>
    <x v="0"/>
    <s v="Standard"/>
    <s v="Delivered"/>
    <n v="0.1757239062676636"/>
  </r>
  <r>
    <s v="ORD00295"/>
    <x v="191"/>
    <s v="CUST1064"/>
    <s v="Kemi Lawal"/>
    <x v="0"/>
    <s v="Benin City"/>
    <s v="Edo"/>
    <x v="1"/>
    <x v="5"/>
    <s v="Furniture"/>
    <n v="6"/>
    <n v="169300"/>
    <n v="741000"/>
    <n v="1015800"/>
    <n v="0"/>
    <n v="0"/>
    <n v="1015800"/>
    <n v="274800"/>
    <x v="3"/>
    <s v="Standard"/>
    <s v="Delivered"/>
    <n v="0.27052569403425869"/>
  </r>
  <r>
    <s v="ORD00305"/>
    <x v="191"/>
    <s v="CUST1152"/>
    <s v="Janet Udo"/>
    <x v="0"/>
    <s v="Lagos"/>
    <s v="Lagos"/>
    <x v="2"/>
    <x v="5"/>
    <s v="Furniture"/>
    <n v="4"/>
    <n v="176400"/>
    <n v="489200"/>
    <n v="705600"/>
    <n v="0"/>
    <n v="0"/>
    <n v="705600"/>
    <n v="216400"/>
    <x v="1"/>
    <s v="Express"/>
    <s v="Delivered"/>
    <n v="0.30668934240362811"/>
  </r>
  <r>
    <s v="ORD00395"/>
    <x v="191"/>
    <s v="CUST1080"/>
    <s v="Chinedu Okoro"/>
    <x v="0"/>
    <s v="Benin City"/>
    <s v="Edo"/>
    <x v="1"/>
    <x v="4"/>
    <s v="Accessories"/>
    <n v="6"/>
    <n v="42800"/>
    <n v="172200"/>
    <n v="256800"/>
    <n v="0.05"/>
    <n v="12840"/>
    <n v="243960"/>
    <n v="71760"/>
    <x v="2"/>
    <s v="Express"/>
    <s v="Delivered"/>
    <n v="0.29414658140678801"/>
  </r>
  <r>
    <s v="ORD00335"/>
    <x v="192"/>
    <s v="CUST1205"/>
    <s v="Kemi Bello"/>
    <x v="0"/>
    <s v="Abeokuta"/>
    <s v="Ogun"/>
    <x v="2"/>
    <x v="9"/>
    <s v="Furniture"/>
    <n v="4"/>
    <n v="125000"/>
    <n v="317600"/>
    <n v="500000"/>
    <n v="0.02"/>
    <n v="10000"/>
    <n v="490000"/>
    <n v="172400"/>
    <x v="0"/>
    <s v="Standard"/>
    <s v="Delivered"/>
    <n v="0.35183673469387761"/>
  </r>
  <r>
    <s v="ORD00402"/>
    <x v="193"/>
    <s v="CUST1195"/>
    <s v="Tunde Musa"/>
    <x v="1"/>
    <s v="Ikeja"/>
    <s v="Lagos"/>
    <x v="2"/>
    <x v="0"/>
    <s v="Electronics"/>
    <n v="7"/>
    <n v="453200"/>
    <n v="2310000"/>
    <n v="3172400"/>
    <n v="0.05"/>
    <n v="158620"/>
    <n v="3013780"/>
    <n v="703780"/>
    <x v="4"/>
    <s v="Standard"/>
    <s v="Delivered"/>
    <n v="0.23352069494123659"/>
  </r>
  <r>
    <s v="ORD00255"/>
    <x v="194"/>
    <s v="CUST1082"/>
    <s v="Kemi Ogunleye"/>
    <x v="0"/>
    <s v="Warri"/>
    <s v="Delta"/>
    <x v="1"/>
    <x v="9"/>
    <s v="Furniture"/>
    <n v="6"/>
    <n v="125400"/>
    <n v="478800"/>
    <n v="752400"/>
    <n v="0.05"/>
    <n v="0"/>
    <n v="0"/>
    <n v="0"/>
    <x v="0"/>
    <s v="Standard"/>
    <s v="Cancelled"/>
    <n v="0"/>
  </r>
  <r>
    <s v="ORD00104"/>
    <x v="195"/>
    <s v="CUST1024"/>
    <s v="Michael Udo"/>
    <x v="0"/>
    <s v="Lagos"/>
    <s v="Lagos"/>
    <x v="2"/>
    <x v="1"/>
    <s v="Accessories"/>
    <n v="2"/>
    <n v="37200"/>
    <n v="41000"/>
    <n v="74400"/>
    <n v="0"/>
    <n v="0"/>
    <n v="74400"/>
    <n v="33400"/>
    <x v="2"/>
    <s v="Pickup"/>
    <s v="Delivered"/>
    <n v="0.44892473118279569"/>
  </r>
  <r>
    <s v="ORD00086"/>
    <x v="196"/>
    <s v="CUST1213"/>
    <s v="Ibrahim Afolabi"/>
    <x v="1"/>
    <s v="Abuja"/>
    <s v="FCT"/>
    <x v="0"/>
    <x v="10"/>
    <s v="Electronics"/>
    <n v="1"/>
    <n v="299900"/>
    <n v="207100"/>
    <n v="299900"/>
    <n v="0.05"/>
    <n v="14995"/>
    <n v="284905"/>
    <n v="77805"/>
    <x v="4"/>
    <s v="Standard"/>
    <s v="Pending"/>
    <n v="0.27309103034344778"/>
  </r>
  <r>
    <s v="ORD00126"/>
    <x v="196"/>
    <s v="CUST1072"/>
    <s v="Precious Adebayo"/>
    <x v="0"/>
    <s v="Ibadan"/>
    <s v="Oyo"/>
    <x v="2"/>
    <x v="6"/>
    <s v="Electronics"/>
    <n v="8"/>
    <n v="667500"/>
    <n v="4200000"/>
    <n v="5340000"/>
    <n v="0.02"/>
    <n v="106800"/>
    <n v="5233200"/>
    <n v="1033200"/>
    <x v="0"/>
    <s v="Standard"/>
    <s v="Delivered"/>
    <n v="0.1974317817014446"/>
  </r>
  <r>
    <s v="ORD00148"/>
    <x v="196"/>
    <s v="CUST1196"/>
    <s v="Chinedu Garba"/>
    <x v="1"/>
    <s v="Ibadan"/>
    <s v="Oyo"/>
    <x v="2"/>
    <x v="4"/>
    <s v="Accessories"/>
    <n v="1"/>
    <n v="45300"/>
    <n v="27900"/>
    <n v="45300"/>
    <n v="0.05"/>
    <n v="2265"/>
    <n v="43035"/>
    <n v="15135"/>
    <x v="4"/>
    <s v="Express"/>
    <s v="Delivered"/>
    <n v="0.35169048448936913"/>
  </r>
  <r>
    <s v="ORD00333"/>
    <x v="197"/>
    <s v="CUST1079"/>
    <s v="Janet Johnson"/>
    <x v="1"/>
    <s v="Kano"/>
    <s v="Kano"/>
    <x v="4"/>
    <x v="6"/>
    <s v="Electronics"/>
    <n v="4"/>
    <n v="639400"/>
    <n v="2158800"/>
    <n v="2557600"/>
    <n v="0.02"/>
    <n v="51152"/>
    <n v="2506448"/>
    <n v="347648"/>
    <x v="2"/>
    <s v="Standard"/>
    <s v="Delivered"/>
    <n v="0.13870146119129539"/>
  </r>
  <r>
    <s v="ORD00118"/>
    <x v="198"/>
    <s v="CUST1121"/>
    <s v="Mary Bello"/>
    <x v="1"/>
    <s v="Onitsha"/>
    <s v="Anambra"/>
    <x v="3"/>
    <x v="11"/>
    <s v="Furniture"/>
    <n v="1"/>
    <n v="238100"/>
    <n v="166200"/>
    <n v="238100"/>
    <n v="0.08"/>
    <n v="19048"/>
    <n v="219052"/>
    <n v="52852"/>
    <x v="2"/>
    <s v="Express"/>
    <s v="Delivered"/>
    <n v="0.2412760440443365"/>
  </r>
  <r>
    <s v="ORD00388"/>
    <x v="198"/>
    <s v="CUST1131"/>
    <s v="Mary Ibrahim"/>
    <x v="1"/>
    <s v="Onitsha"/>
    <s v="Anambra"/>
    <x v="3"/>
    <x v="7"/>
    <s v="Office Equipment"/>
    <n v="7"/>
    <n v="210000"/>
    <n v="1061900"/>
    <n v="1470000"/>
    <n v="0.02"/>
    <n v="29400"/>
    <n v="1440600"/>
    <n v="378700"/>
    <x v="2"/>
    <s v="Standard"/>
    <s v="Delivered"/>
    <n v="0.26287657920310981"/>
  </r>
  <r>
    <s v="ORD00020"/>
    <x v="199"/>
    <s v="CUST1097"/>
    <s v="Peter Adeyemi"/>
    <x v="1"/>
    <s v="Port Harcourt"/>
    <s v="Rivers"/>
    <x v="1"/>
    <x v="10"/>
    <s v="Electronics"/>
    <n v="6"/>
    <n v="275200"/>
    <n v="1330200"/>
    <n v="1651200"/>
    <n v="0.05"/>
    <n v="82560"/>
    <n v="1568640"/>
    <n v="238440"/>
    <x v="4"/>
    <s v="Standard"/>
    <s v="Delivered"/>
    <n v="0.15200428396572829"/>
  </r>
  <r>
    <s v="ORD00062"/>
    <x v="199"/>
    <s v="CUST1035"/>
    <s v="Favour Bello"/>
    <x v="1"/>
    <s v="Port Harcourt"/>
    <s v="Rivers"/>
    <x v="1"/>
    <x v="9"/>
    <s v="Furniture"/>
    <n v="4"/>
    <n v="126600"/>
    <n v="303200"/>
    <n v="506400"/>
    <n v="0.05"/>
    <n v="25320"/>
    <n v="481080"/>
    <n v="177880"/>
    <x v="4"/>
    <s v="Pickup"/>
    <s v="Delivered"/>
    <n v="0.36975139269975887"/>
  </r>
  <r>
    <s v="ORD00117"/>
    <x v="200"/>
    <s v="CUST1139"/>
    <s v="Kemi Okafor"/>
    <x v="0"/>
    <s v="Benin City"/>
    <s v="Edo"/>
    <x v="1"/>
    <x v="7"/>
    <s v="Office Equipment"/>
    <n v="7"/>
    <n v="213000"/>
    <n v="1058400"/>
    <n v="1491000"/>
    <n v="0"/>
    <n v="0"/>
    <n v="1491000"/>
    <n v="432600"/>
    <x v="2"/>
    <s v="Standard"/>
    <s v="Delivered"/>
    <n v="0.29014084507042248"/>
  </r>
  <r>
    <s v="ORD00304"/>
    <x v="200"/>
    <s v="CUST1213"/>
    <s v="Yemi Johnson"/>
    <x v="0"/>
    <s v="Ilorin"/>
    <s v="Kwara"/>
    <x v="0"/>
    <x v="3"/>
    <s v="Accessories"/>
    <n v="7"/>
    <n v="65800"/>
    <n v="290500"/>
    <n v="460600"/>
    <n v="0.1"/>
    <n v="46060"/>
    <n v="414540"/>
    <n v="124040"/>
    <x v="4"/>
    <s v="Express"/>
    <s v="Delivered"/>
    <n v="0.29922323539344808"/>
  </r>
  <r>
    <s v="ORD00348"/>
    <x v="200"/>
    <s v="CUST1099"/>
    <s v="Samuel Lawal"/>
    <x v="1"/>
    <s v="Abeokuta"/>
    <s v="Ogun"/>
    <x v="2"/>
    <x v="0"/>
    <s v="Electronics"/>
    <n v="7"/>
    <n v="435400"/>
    <n v="2397500"/>
    <n v="3047800"/>
    <n v="0"/>
    <n v="0"/>
    <n v="3047800"/>
    <n v="650300"/>
    <x v="0"/>
    <s v="Express"/>
    <s v="Delivered"/>
    <n v="0.21336701883325679"/>
  </r>
  <r>
    <s v="ORD00154"/>
    <x v="201"/>
    <s v="CUST1032"/>
    <s v="Chinedu Obi"/>
    <x v="1"/>
    <s v="Abeokuta"/>
    <s v="Ogun"/>
    <x v="2"/>
    <x v="3"/>
    <s v="Accessories"/>
    <n v="4"/>
    <n v="64700"/>
    <n v="162800"/>
    <n v="258800"/>
    <n v="0.02"/>
    <n v="5176"/>
    <n v="253624"/>
    <n v="90824"/>
    <x v="0"/>
    <s v="Express"/>
    <s v="Pending"/>
    <n v="0.35810491120714127"/>
  </r>
  <r>
    <s v="ORD00347"/>
    <x v="201"/>
    <s v="CUST1015"/>
    <s v="Michael Nwosu"/>
    <x v="0"/>
    <s v="Port Harcourt"/>
    <s v="Rivers"/>
    <x v="1"/>
    <x v="5"/>
    <s v="Furniture"/>
    <n v="4"/>
    <n v="174900"/>
    <n v="506800"/>
    <n v="699600"/>
    <n v="0.02"/>
    <n v="13992"/>
    <n v="685608"/>
    <n v="178808"/>
    <x v="1"/>
    <s v="Express"/>
    <s v="Delivered"/>
    <n v="0.26080209099077017"/>
  </r>
  <r>
    <s v="ORD00436"/>
    <x v="202"/>
    <s v="CUST1025"/>
    <s v="Michael Adebayo"/>
    <x v="0"/>
    <s v="Ibadan"/>
    <s v="Oyo"/>
    <x v="2"/>
    <x v="6"/>
    <s v="Electronics"/>
    <n v="6"/>
    <n v="627400"/>
    <n v="3071400"/>
    <n v="3764400"/>
    <n v="0.1"/>
    <n v="376440"/>
    <n v="3387960"/>
    <n v="316560"/>
    <x v="2"/>
    <s v="Pickup"/>
    <s v="Delivered"/>
    <n v="9.343675840328694E-2"/>
  </r>
  <r>
    <s v="ORD00485"/>
    <x v="203"/>
    <s v="CUST1008"/>
    <s v="Michael Adebayo"/>
    <x v="0"/>
    <s v="Onitsha"/>
    <s v="Anambra"/>
    <x v="3"/>
    <x v="2"/>
    <s v="Office Equipment"/>
    <n v="1"/>
    <n v="152600"/>
    <n v="109900"/>
    <n v="152600"/>
    <n v="0.05"/>
    <n v="0"/>
    <n v="0"/>
    <n v="0"/>
    <x v="0"/>
    <s v="Pickup"/>
    <s v="Cancelled"/>
    <n v="0"/>
  </r>
  <r>
    <s v="ORD00173"/>
    <x v="204"/>
    <s v="CUST1188"/>
    <s v="Kemi Okafor"/>
    <x v="1"/>
    <s v="Ikeja"/>
    <s v="Lagos"/>
    <x v="2"/>
    <x v="11"/>
    <s v="Furniture"/>
    <n v="8"/>
    <n v="236600"/>
    <n v="1336000"/>
    <n v="1892800"/>
    <n v="0.02"/>
    <n v="37856"/>
    <n v="1854944"/>
    <n v="518944"/>
    <x v="3"/>
    <s v="Standard"/>
    <s v="Delivered"/>
    <n v="0.27976262356168158"/>
  </r>
  <r>
    <s v="ORD00199"/>
    <x v="204"/>
    <s v="CUST1028"/>
    <s v="Mary Udo"/>
    <x v="0"/>
    <s v="Abuja"/>
    <s v="FCT"/>
    <x v="0"/>
    <x v="0"/>
    <s v="Electronics"/>
    <n v="5"/>
    <n v="394700"/>
    <n v="1683000"/>
    <n v="1973500"/>
    <n v="0"/>
    <n v="0"/>
    <n v="1973500"/>
    <n v="290500"/>
    <x v="0"/>
    <s v="Standard"/>
    <s v="Delivered"/>
    <n v="0.14720040537116799"/>
  </r>
  <r>
    <s v="ORD00316"/>
    <x v="204"/>
    <s v="CUST1143"/>
    <s v="Oluwaseun Garba"/>
    <x v="0"/>
    <s v="Abuja"/>
    <s v="FCT"/>
    <x v="0"/>
    <x v="0"/>
    <s v="Electronics"/>
    <n v="5"/>
    <n v="415300"/>
    <n v="1719500"/>
    <n v="2076500"/>
    <n v="0"/>
    <n v="0"/>
    <n v="2076500"/>
    <n v="357000"/>
    <x v="4"/>
    <s v="Express"/>
    <s v="Delivered"/>
    <n v="0.1719239104261979"/>
  </r>
  <r>
    <s v="ORD00421"/>
    <x v="204"/>
    <s v="CUST1108"/>
    <s v="Oluwaseun Adebayo"/>
    <x v="1"/>
    <s v="Abuja"/>
    <s v="FCT"/>
    <x v="0"/>
    <x v="11"/>
    <s v="Furniture"/>
    <n v="8"/>
    <n v="249200"/>
    <n v="1299200"/>
    <n v="1993600"/>
    <n v="0"/>
    <n v="0"/>
    <n v="1993600"/>
    <n v="694400"/>
    <x v="4"/>
    <s v="Standard"/>
    <s v="Delivered"/>
    <n v="0.34831460674157311"/>
  </r>
  <r>
    <s v="ORD00301"/>
    <x v="205"/>
    <s v="CUST1196"/>
    <s v="Janet Yusuf"/>
    <x v="0"/>
    <s v="Kano"/>
    <s v="Kano"/>
    <x v="4"/>
    <x v="5"/>
    <s v="Furniture"/>
    <n v="4"/>
    <n v="185400"/>
    <n v="506400"/>
    <n v="741600"/>
    <n v="0"/>
    <n v="0"/>
    <n v="741600"/>
    <n v="235200"/>
    <x v="3"/>
    <s v="Standard"/>
    <s v="Delivered"/>
    <n v="0.31715210355987061"/>
  </r>
  <r>
    <s v="ORD00016"/>
    <x v="206"/>
    <s v="CUST1099"/>
    <s v="Ibrahim Ojo"/>
    <x v="0"/>
    <s v="Ikeja"/>
    <s v="Lagos"/>
    <x v="2"/>
    <x v="3"/>
    <s v="Accessories"/>
    <n v="8"/>
    <n v="61200"/>
    <n v="332000"/>
    <n v="489600"/>
    <n v="0"/>
    <n v="0"/>
    <n v="489600"/>
    <n v="157600"/>
    <x v="4"/>
    <s v="Standard"/>
    <s v="Pending"/>
    <n v="0.32189542483660127"/>
  </r>
  <r>
    <s v="ORD00342"/>
    <x v="206"/>
    <s v="CUST1040"/>
    <s v="Amina Yusuf"/>
    <x v="0"/>
    <s v="Port Harcourt"/>
    <s v="Rivers"/>
    <x v="1"/>
    <x v="6"/>
    <s v="Electronics"/>
    <n v="6"/>
    <n v="637300"/>
    <n v="3031200"/>
    <n v="3823800"/>
    <n v="0"/>
    <n v="0"/>
    <n v="3823800"/>
    <n v="792600"/>
    <x v="4"/>
    <s v="Standard"/>
    <s v="Delivered"/>
    <n v="0.20728071551859409"/>
  </r>
  <r>
    <s v="ORD00023"/>
    <x v="207"/>
    <s v="CUST1246"/>
    <s v="Precious Johnson"/>
    <x v="1"/>
    <s v="Ikeja"/>
    <s v="Lagos"/>
    <x v="2"/>
    <x v="1"/>
    <s v="Accessories"/>
    <n v="7"/>
    <n v="35100"/>
    <n v="151200"/>
    <n v="245700"/>
    <n v="0.05"/>
    <n v="12285"/>
    <n v="233415"/>
    <n v="82215"/>
    <x v="3"/>
    <s v="Express"/>
    <s v="Delivered"/>
    <n v="0.35222672064777327"/>
  </r>
  <r>
    <s v="ORD00480"/>
    <x v="208"/>
    <s v="CUST1103"/>
    <s v="Peter Johnson"/>
    <x v="1"/>
    <s v="Benin City"/>
    <s v="Edo"/>
    <x v="1"/>
    <x v="1"/>
    <s v="Accessories"/>
    <n v="2"/>
    <n v="34200"/>
    <n v="42600"/>
    <n v="68400"/>
    <n v="0.02"/>
    <n v="1368"/>
    <n v="67032"/>
    <n v="24432"/>
    <x v="0"/>
    <s v="Standard"/>
    <s v="Delivered"/>
    <n v="0.36448263515932688"/>
  </r>
  <r>
    <s v="ORD00096"/>
    <x v="209"/>
    <s v="CUST1224"/>
    <s v="Tunde Okafor"/>
    <x v="1"/>
    <s v="Benin City"/>
    <s v="Edo"/>
    <x v="1"/>
    <x v="8"/>
    <s v="Accessories"/>
    <n v="4"/>
    <n v="79700"/>
    <n v="214400"/>
    <n v="318800"/>
    <n v="0.1"/>
    <n v="31880"/>
    <n v="286920"/>
    <n v="72520"/>
    <x v="4"/>
    <s v="Standard"/>
    <s v="Delivered"/>
    <n v="0.25275338073330539"/>
  </r>
  <r>
    <s v="ORD00195"/>
    <x v="209"/>
    <s v="CUST1090"/>
    <s v="Ibrahim Bello"/>
    <x v="1"/>
    <s v="Ibadan"/>
    <s v="Oyo"/>
    <x v="2"/>
    <x v="3"/>
    <s v="Accessories"/>
    <n v="4"/>
    <n v="69000"/>
    <n v="170400"/>
    <n v="276000"/>
    <n v="0"/>
    <n v="0"/>
    <n v="276000"/>
    <n v="105600"/>
    <x v="4"/>
    <s v="Standard"/>
    <s v="Delivered"/>
    <n v="0.38260869565217392"/>
  </r>
  <r>
    <s v="ORD00089"/>
    <x v="210"/>
    <s v="CUST1244"/>
    <s v="Samuel Musa"/>
    <x v="0"/>
    <s v="Ilorin"/>
    <s v="Kwara"/>
    <x v="0"/>
    <x v="7"/>
    <s v="Office Equipment"/>
    <n v="7"/>
    <n v="199400"/>
    <n v="1040200"/>
    <n v="1395800"/>
    <n v="0.08"/>
    <n v="111664"/>
    <n v="1284136"/>
    <n v="243936"/>
    <x v="1"/>
    <s v="Pickup"/>
    <s v="Delivered"/>
    <n v="0.1899611879115608"/>
  </r>
  <r>
    <s v="ORD00298"/>
    <x v="210"/>
    <s v="CUST1096"/>
    <s v="Favour Ibrahim"/>
    <x v="0"/>
    <s v="Enugu"/>
    <s v="Enugu"/>
    <x v="3"/>
    <x v="6"/>
    <s v="Electronics"/>
    <n v="7"/>
    <n v="626200"/>
    <n v="3523100"/>
    <n v="4383400"/>
    <n v="0.05"/>
    <n v="219170"/>
    <n v="4164230"/>
    <n v="641130"/>
    <x v="2"/>
    <s v="Standard"/>
    <s v="Delivered"/>
    <n v="0.1539612365311234"/>
  </r>
  <r>
    <s v="ORD00376"/>
    <x v="211"/>
    <s v="CUST1168"/>
    <s v="Tunde Eze"/>
    <x v="0"/>
    <s v="Lagos"/>
    <s v="Lagos"/>
    <x v="2"/>
    <x v="8"/>
    <s v="Accessories"/>
    <n v="5"/>
    <n v="84600"/>
    <n v="261000"/>
    <n v="423000"/>
    <n v="0.02"/>
    <n v="8460"/>
    <n v="414540"/>
    <n v="153540"/>
    <x v="0"/>
    <s v="Express"/>
    <s v="Delivered"/>
    <n v="0.37038645245332169"/>
  </r>
  <r>
    <s v="ORD00017"/>
    <x v="212"/>
    <s v="CUST1208"/>
    <s v="Daniel Garba"/>
    <x v="0"/>
    <s v="Kano"/>
    <s v="Kano"/>
    <x v="4"/>
    <x v="10"/>
    <s v="Electronics"/>
    <n v="5"/>
    <n v="297900"/>
    <n v="1086500"/>
    <n v="1489500"/>
    <n v="0"/>
    <n v="0"/>
    <n v="1489500"/>
    <n v="403000"/>
    <x v="3"/>
    <s v="Express"/>
    <s v="Delivered"/>
    <n v="0.27056059080228262"/>
  </r>
  <r>
    <s v="ORD00205"/>
    <x v="213"/>
    <s v="CUST1141"/>
    <s v="Chinedu Yusuf"/>
    <x v="0"/>
    <s v="Abeokuta"/>
    <s v="Ogun"/>
    <x v="2"/>
    <x v="5"/>
    <s v="Furniture"/>
    <n v="1"/>
    <n v="176700"/>
    <n v="123400"/>
    <n v="176700"/>
    <n v="0.02"/>
    <n v="3534"/>
    <n v="173166"/>
    <n v="49766"/>
    <x v="3"/>
    <s v="Standard"/>
    <s v="Delivered"/>
    <n v="0.28738897936084451"/>
  </r>
  <r>
    <s v="ORD00424"/>
    <x v="214"/>
    <s v="CUST1222"/>
    <s v="Ibrahim Garba"/>
    <x v="0"/>
    <s v="Kano"/>
    <s v="Kano"/>
    <x v="4"/>
    <x v="0"/>
    <s v="Electronics"/>
    <n v="5"/>
    <n v="430600"/>
    <n v="1666500"/>
    <n v="2153000"/>
    <n v="0"/>
    <n v="0"/>
    <n v="2153000"/>
    <n v="486500"/>
    <x v="2"/>
    <s v="Standard"/>
    <s v="Delivered"/>
    <n v="0.2259637714816535"/>
  </r>
  <r>
    <s v="ORD00197"/>
    <x v="215"/>
    <s v="CUST1075"/>
    <s v="Ngozi Eze"/>
    <x v="0"/>
    <s v="Abuja"/>
    <s v="FCT"/>
    <x v="0"/>
    <x v="6"/>
    <s v="Electronics"/>
    <n v="3"/>
    <n v="634900"/>
    <n v="1615200"/>
    <n v="1904700"/>
    <n v="0.05"/>
    <n v="95235"/>
    <n v="1809465"/>
    <n v="194265"/>
    <x v="0"/>
    <s v="Standard"/>
    <s v="Delivered"/>
    <n v="0.1073604628992548"/>
  </r>
  <r>
    <s v="ORD00121"/>
    <x v="216"/>
    <s v="CUST1080"/>
    <s v="Sarah Eze"/>
    <x v="0"/>
    <s v="Ilorin"/>
    <s v="Kwara"/>
    <x v="0"/>
    <x v="10"/>
    <s v="Electronics"/>
    <n v="2"/>
    <n v="273000"/>
    <n v="431200"/>
    <n v="546000"/>
    <n v="0"/>
    <n v="0"/>
    <n v="546000"/>
    <n v="114800"/>
    <x v="0"/>
    <s v="Standard"/>
    <s v="Delivered"/>
    <n v="0.21025641025641029"/>
  </r>
  <r>
    <s v="ORD00358"/>
    <x v="216"/>
    <s v="CUST1161"/>
    <s v="Amina Musa"/>
    <x v="0"/>
    <s v="Lagos"/>
    <s v="Lagos"/>
    <x v="2"/>
    <x v="0"/>
    <s v="Electronics"/>
    <n v="1"/>
    <n v="398500"/>
    <n v="328600"/>
    <n v="398500"/>
    <n v="0.02"/>
    <n v="7970"/>
    <n v="390530"/>
    <n v="61930"/>
    <x v="0"/>
    <s v="Express"/>
    <s v="Delivered"/>
    <n v="0.1585793665019333"/>
  </r>
  <r>
    <s v="ORD00414"/>
    <x v="216"/>
    <s v="CUST1100"/>
    <s v="Ibrahim Afolabi"/>
    <x v="0"/>
    <s v="Lagos"/>
    <s v="Lagos"/>
    <x v="2"/>
    <x v="9"/>
    <s v="Furniture"/>
    <n v="8"/>
    <n v="117000"/>
    <n v="620800"/>
    <n v="936000"/>
    <n v="0.05"/>
    <n v="46800"/>
    <n v="889200"/>
    <n v="268400"/>
    <x v="3"/>
    <s v="Pickup"/>
    <s v="Delivered"/>
    <n v="0.30184435447593339"/>
  </r>
  <r>
    <s v="ORD00372"/>
    <x v="217"/>
    <s v="CUST1026"/>
    <s v="Oluwaseun Afolabi"/>
    <x v="0"/>
    <s v="Kano"/>
    <s v="Kano"/>
    <x v="4"/>
    <x v="3"/>
    <s v="Accessories"/>
    <n v="7"/>
    <n v="64300"/>
    <n v="296800"/>
    <n v="450100"/>
    <n v="0.05"/>
    <n v="22505"/>
    <n v="427595"/>
    <n v="130795"/>
    <x v="2"/>
    <s v="Standard"/>
    <s v="Delivered"/>
    <n v="0.3058852418760743"/>
  </r>
  <r>
    <s v="ORD00081"/>
    <x v="218"/>
    <s v="CUST1107"/>
    <s v="Amina Lawal"/>
    <x v="1"/>
    <s v="Lagos"/>
    <s v="Lagos"/>
    <x v="2"/>
    <x v="8"/>
    <s v="Accessories"/>
    <n v="2"/>
    <n v="83700"/>
    <n v="106200"/>
    <n v="167400"/>
    <n v="0"/>
    <n v="0"/>
    <n v="167400"/>
    <n v="61200"/>
    <x v="3"/>
    <s v="Standard"/>
    <s v="Delivered"/>
    <n v="0.36559139784946237"/>
  </r>
  <r>
    <s v="ORD00092"/>
    <x v="218"/>
    <s v="CUST1117"/>
    <s v="Tunde Yusuf"/>
    <x v="1"/>
    <s v="Ikeja"/>
    <s v="Lagos"/>
    <x v="2"/>
    <x v="7"/>
    <s v="Office Equipment"/>
    <n v="1"/>
    <n v="218200"/>
    <n v="144800"/>
    <n v="218200"/>
    <n v="0"/>
    <n v="0"/>
    <n v="218200"/>
    <n v="73400"/>
    <x v="0"/>
    <s v="Standard"/>
    <s v="Delivered"/>
    <n v="0.33638863428047661"/>
  </r>
  <r>
    <s v="ORD00266"/>
    <x v="218"/>
    <s v="CUST1088"/>
    <s v="Esther Balogun"/>
    <x v="1"/>
    <s v="Ilorin"/>
    <s v="Kwara"/>
    <x v="0"/>
    <x v="3"/>
    <s v="Accessories"/>
    <n v="2"/>
    <n v="60000"/>
    <n v="82600"/>
    <n v="120000"/>
    <n v="0.02"/>
    <n v="2400"/>
    <n v="117600"/>
    <n v="35000"/>
    <x v="4"/>
    <s v="Standard"/>
    <s v="Delivered"/>
    <n v="0.29761904761904762"/>
  </r>
  <r>
    <s v="ORD00275"/>
    <x v="218"/>
    <s v="CUST1156"/>
    <s v="John Adeyemi"/>
    <x v="0"/>
    <s v="Ibadan"/>
    <s v="Oyo"/>
    <x v="2"/>
    <x v="6"/>
    <s v="Electronics"/>
    <n v="7"/>
    <n v="690100"/>
    <n v="3558800"/>
    <n v="4830700"/>
    <n v="0.05"/>
    <n v="241535"/>
    <n v="4589165"/>
    <n v="1030365"/>
    <x v="1"/>
    <s v="Standard"/>
    <s v="Pending"/>
    <n v="0.22452123643407901"/>
  </r>
  <r>
    <s v="ORD00374"/>
    <x v="218"/>
    <s v="CUST1150"/>
    <s v="Precious Ojo"/>
    <x v="0"/>
    <s v="Ibadan"/>
    <s v="Oyo"/>
    <x v="2"/>
    <x v="1"/>
    <s v="Accessories"/>
    <n v="2"/>
    <n v="35900"/>
    <n v="41800"/>
    <n v="71800"/>
    <n v="0.05"/>
    <n v="3590"/>
    <n v="68210"/>
    <n v="26410"/>
    <x v="1"/>
    <s v="Standard"/>
    <s v="Delivered"/>
    <n v="0.38718662952646238"/>
  </r>
  <r>
    <s v="ORD00235"/>
    <x v="219"/>
    <s v="CUST1102"/>
    <s v="Sarah Ibrahim"/>
    <x v="1"/>
    <s v="Abuja"/>
    <s v="FCT"/>
    <x v="0"/>
    <x v="11"/>
    <s v="Furniture"/>
    <n v="6"/>
    <n v="242700"/>
    <n v="970800"/>
    <n v="1456200"/>
    <n v="0"/>
    <n v="0"/>
    <n v="1456200"/>
    <n v="485400"/>
    <x v="3"/>
    <s v="Pickup"/>
    <s v="Delivered"/>
    <n v="0.33333333333333331"/>
  </r>
  <r>
    <s v="ORD00318"/>
    <x v="219"/>
    <s v="CUST1037"/>
    <s v="Ngozi Ibrahim"/>
    <x v="1"/>
    <s v="Lagos"/>
    <s v="Lagos"/>
    <x v="2"/>
    <x v="3"/>
    <s v="Accessories"/>
    <n v="8"/>
    <n v="68400"/>
    <n v="344000"/>
    <n v="547200"/>
    <n v="0"/>
    <n v="0"/>
    <n v="547200"/>
    <n v="203200"/>
    <x v="0"/>
    <s v="Express"/>
    <s v="Delivered"/>
    <n v="0.37134502923976609"/>
  </r>
  <r>
    <s v="ORD00225"/>
    <x v="220"/>
    <s v="CUST1049"/>
    <s v="Kemi Musa"/>
    <x v="1"/>
    <s v="Enugu"/>
    <s v="Enugu"/>
    <x v="3"/>
    <x v="3"/>
    <s v="Accessories"/>
    <n v="6"/>
    <n v="61900"/>
    <n v="259800"/>
    <n v="371400"/>
    <n v="0"/>
    <n v="0"/>
    <n v="371400"/>
    <n v="111600"/>
    <x v="4"/>
    <s v="Standard"/>
    <s v="Delivered"/>
    <n v="0.30048465266558971"/>
  </r>
  <r>
    <s v="ORD00426"/>
    <x v="220"/>
    <s v="CUST1244"/>
    <s v="Michael Ojo"/>
    <x v="1"/>
    <s v="Benin City"/>
    <s v="Edo"/>
    <x v="1"/>
    <x v="8"/>
    <s v="Accessories"/>
    <n v="1"/>
    <n v="81400"/>
    <n v="51900"/>
    <n v="81400"/>
    <n v="0"/>
    <n v="0"/>
    <n v="81400"/>
    <n v="29500"/>
    <x v="2"/>
    <s v="Express"/>
    <s v="Delivered"/>
    <n v="0.36240786240786238"/>
  </r>
  <r>
    <s v="ORD00160"/>
    <x v="221"/>
    <s v="CUST1054"/>
    <s v="Michael Nwosu"/>
    <x v="1"/>
    <s v="Ikeja"/>
    <s v="Lagos"/>
    <x v="2"/>
    <x v="5"/>
    <s v="Furniture"/>
    <n v="1"/>
    <n v="176400"/>
    <n v="125400"/>
    <n v="176400"/>
    <n v="0.02"/>
    <n v="3528"/>
    <n v="172872"/>
    <n v="47472"/>
    <x v="4"/>
    <s v="Express"/>
    <s v="Delivered"/>
    <n v="0.27460780230459531"/>
  </r>
  <r>
    <s v="ORD00056"/>
    <x v="222"/>
    <s v="CUST1109"/>
    <s v="Grace Bello"/>
    <x v="0"/>
    <s v="Abuja"/>
    <s v="FCT"/>
    <x v="0"/>
    <x v="8"/>
    <s v="Accessories"/>
    <n v="1"/>
    <n v="82800"/>
    <n v="53700"/>
    <n v="82800"/>
    <n v="0.05"/>
    <n v="4140"/>
    <n v="78660"/>
    <n v="24960"/>
    <x v="0"/>
    <s v="Standard"/>
    <s v="Delivered"/>
    <n v="0.3173150266971777"/>
  </r>
  <r>
    <s v="ORD00451"/>
    <x v="222"/>
    <s v="CUST1096"/>
    <s v="Ibrahim Udo"/>
    <x v="0"/>
    <s v="Kano"/>
    <s v="Kano"/>
    <x v="4"/>
    <x v="2"/>
    <s v="Office Equipment"/>
    <n v="4"/>
    <n v="153300"/>
    <n v="438000"/>
    <n v="613200"/>
    <n v="0.02"/>
    <n v="12264"/>
    <n v="600936"/>
    <n v="162936"/>
    <x v="0"/>
    <s v="Express"/>
    <s v="Delivered"/>
    <n v="0.27113702623906699"/>
  </r>
  <r>
    <s v="ORD00339"/>
    <x v="223"/>
    <s v="CUST1216"/>
    <s v="Samuel Ojo"/>
    <x v="0"/>
    <s v="Ibadan"/>
    <s v="Oyo"/>
    <x v="2"/>
    <x v="7"/>
    <s v="Office Equipment"/>
    <n v="7"/>
    <n v="208900"/>
    <n v="1059800"/>
    <n v="1462300"/>
    <n v="0"/>
    <n v="0"/>
    <n v="1462300"/>
    <n v="402500"/>
    <x v="0"/>
    <s v="Standard"/>
    <s v="Delivered"/>
    <n v="0.27525131641933942"/>
  </r>
  <r>
    <s v="ORD00027"/>
    <x v="224"/>
    <s v="CUST1023"/>
    <s v="John Musa"/>
    <x v="0"/>
    <s v="Enugu"/>
    <s v="Enugu"/>
    <x v="3"/>
    <x v="6"/>
    <s v="Electronics"/>
    <n v="7"/>
    <n v="643100"/>
    <n v="3711400"/>
    <n v="4501700"/>
    <n v="0"/>
    <n v="0"/>
    <n v="4501700"/>
    <n v="790300"/>
    <x v="0"/>
    <s v="Standard"/>
    <s v="Delivered"/>
    <n v="0.17555590110402741"/>
  </r>
  <r>
    <s v="ORD00303"/>
    <x v="224"/>
    <s v="CUST1185"/>
    <s v="Grace Afolabi"/>
    <x v="1"/>
    <s v="Port Harcourt"/>
    <s v="Rivers"/>
    <x v="1"/>
    <x v="4"/>
    <s v="Accessories"/>
    <n v="2"/>
    <n v="47900"/>
    <n v="56400"/>
    <n v="95800"/>
    <n v="0.02"/>
    <n v="1916"/>
    <n v="93884"/>
    <n v="37484"/>
    <x v="1"/>
    <s v="Pickup"/>
    <s v="Delivered"/>
    <n v="0.39925865962251289"/>
  </r>
  <r>
    <s v="ORD00163"/>
    <x v="225"/>
    <s v="CUST1110"/>
    <s v="Tunde Yusuf"/>
    <x v="0"/>
    <s v="Enugu"/>
    <s v="Enugu"/>
    <x v="3"/>
    <x v="8"/>
    <s v="Accessories"/>
    <n v="2"/>
    <n v="86400"/>
    <n v="104800"/>
    <n v="172800"/>
    <n v="0"/>
    <n v="0"/>
    <n v="172800"/>
    <n v="68000"/>
    <x v="1"/>
    <s v="Standard"/>
    <s v="Delivered"/>
    <n v="0.39351851851851849"/>
  </r>
  <r>
    <s v="ORD00164"/>
    <x v="225"/>
    <s v="CUST1116"/>
    <s v="Samuel Balogun"/>
    <x v="0"/>
    <s v="Ibadan"/>
    <s v="Oyo"/>
    <x v="2"/>
    <x v="2"/>
    <s v="Office Equipment"/>
    <n v="8"/>
    <n v="156800"/>
    <n v="868800"/>
    <n v="1254400"/>
    <n v="0.05"/>
    <n v="62720"/>
    <n v="1191680"/>
    <n v="322880"/>
    <x v="1"/>
    <s v="Express"/>
    <s v="Delivered"/>
    <n v="0.2709452201933405"/>
  </r>
  <r>
    <s v="ORD00159"/>
    <x v="226"/>
    <s v="CUST1106"/>
    <s v="Chinedu Obi"/>
    <x v="1"/>
    <s v="Enugu"/>
    <s v="Enugu"/>
    <x v="3"/>
    <x v="8"/>
    <s v="Accessories"/>
    <n v="1"/>
    <n v="88300"/>
    <n v="53600"/>
    <n v="88300"/>
    <n v="0"/>
    <n v="0"/>
    <n v="88300"/>
    <n v="34700"/>
    <x v="4"/>
    <s v="Express"/>
    <s v="Delivered"/>
    <n v="0.39297848244620609"/>
  </r>
  <r>
    <s v="ORD00463"/>
    <x v="226"/>
    <s v="CUST1138"/>
    <s v="Peter Eze"/>
    <x v="0"/>
    <s v="Benin City"/>
    <s v="Edo"/>
    <x v="1"/>
    <x v="4"/>
    <s v="Accessories"/>
    <n v="7"/>
    <n v="47300"/>
    <n v="189700"/>
    <n v="331100"/>
    <n v="0.08"/>
    <n v="26488"/>
    <n v="304612"/>
    <n v="114912"/>
    <x v="1"/>
    <s v="Standard"/>
    <s v="Delivered"/>
    <n v="0.37724055519808808"/>
  </r>
  <r>
    <s v="ORD00138"/>
    <x v="227"/>
    <s v="CUST1121"/>
    <s v="Yemi Ibrahim"/>
    <x v="1"/>
    <s v="Warri"/>
    <s v="Delta"/>
    <x v="1"/>
    <x v="1"/>
    <s v="Accessories"/>
    <n v="4"/>
    <n v="37700"/>
    <n v="80800"/>
    <n v="150800"/>
    <n v="0.05"/>
    <n v="7540"/>
    <n v="143260"/>
    <n v="62460"/>
    <x v="3"/>
    <s v="Pickup"/>
    <s v="Delivered"/>
    <n v="0.43599050677090612"/>
  </r>
  <r>
    <s v="ORD00142"/>
    <x v="227"/>
    <s v="CUST1110"/>
    <s v="Precious Afolabi"/>
    <x v="1"/>
    <s v="Abuja"/>
    <s v="FCT"/>
    <x v="0"/>
    <x v="1"/>
    <s v="Accessories"/>
    <n v="1"/>
    <n v="35400"/>
    <n v="21000"/>
    <n v="35400"/>
    <n v="0"/>
    <n v="0"/>
    <n v="35400"/>
    <n v="14400"/>
    <x v="2"/>
    <s v="Standard"/>
    <s v="Delivered"/>
    <n v="0.40677966101694918"/>
  </r>
  <r>
    <s v="ORD00320"/>
    <x v="227"/>
    <s v="CUST1249"/>
    <s v="Kemi Eze"/>
    <x v="0"/>
    <s v="Abeokuta"/>
    <s v="Ogun"/>
    <x v="2"/>
    <x v="6"/>
    <s v="Electronics"/>
    <n v="1"/>
    <n v="670000"/>
    <n v="518200"/>
    <n v="670000"/>
    <n v="0"/>
    <n v="0"/>
    <n v="670000"/>
    <n v="151800"/>
    <x v="3"/>
    <s v="Standard"/>
    <s v="Delivered"/>
    <n v="0.2265671641791045"/>
  </r>
  <r>
    <s v="ORD00328"/>
    <x v="228"/>
    <s v="CUST1106"/>
    <s v="Mary Obi"/>
    <x v="0"/>
    <s v="Abuja"/>
    <s v="FCT"/>
    <x v="0"/>
    <x v="10"/>
    <s v="Electronics"/>
    <n v="8"/>
    <n v="269900"/>
    <n v="1775200"/>
    <n v="2159200"/>
    <n v="0"/>
    <n v="0"/>
    <n v="2159200"/>
    <n v="384000"/>
    <x v="1"/>
    <s v="Standard"/>
    <s v="Pending"/>
    <n v="0.1778436457947388"/>
  </r>
  <r>
    <s v="ORD00459"/>
    <x v="228"/>
    <s v="CUST1227"/>
    <s v="Michael Bello"/>
    <x v="0"/>
    <s v="Ikeja"/>
    <s v="Lagos"/>
    <x v="2"/>
    <x v="2"/>
    <s v="Office Equipment"/>
    <n v="4"/>
    <n v="151700"/>
    <n v="461200"/>
    <n v="606800"/>
    <n v="0"/>
    <n v="0"/>
    <n v="606800"/>
    <n v="145600"/>
    <x v="1"/>
    <s v="Standard"/>
    <s v="Delivered"/>
    <n v="0.23994726433750821"/>
  </r>
  <r>
    <s v="ORD00496"/>
    <x v="228"/>
    <s v="CUST1210"/>
    <s v="Ibrahim Ogunleye"/>
    <x v="1"/>
    <s v="Ibadan"/>
    <s v="Oyo"/>
    <x v="2"/>
    <x v="0"/>
    <s v="Electronics"/>
    <n v="7"/>
    <n v="388300"/>
    <n v="2411500"/>
    <n v="2718100"/>
    <n v="0"/>
    <n v="0"/>
    <n v="2718100"/>
    <n v="306600"/>
    <x v="4"/>
    <s v="Standard"/>
    <s v="Delivered"/>
    <n v="0.112799381921195"/>
  </r>
  <r>
    <s v="ORD00153"/>
    <x v="229"/>
    <s v="CUST1078"/>
    <s v="John Ogunleye"/>
    <x v="0"/>
    <s v="Enugu"/>
    <s v="Enugu"/>
    <x v="3"/>
    <x v="2"/>
    <s v="Office Equipment"/>
    <n v="1"/>
    <n v="172200"/>
    <n v="113500"/>
    <n v="172200"/>
    <n v="0"/>
    <n v="0"/>
    <n v="172200"/>
    <n v="58700"/>
    <x v="2"/>
    <s v="Pickup"/>
    <s v="Delivered"/>
    <n v="0.3408826945412311"/>
  </r>
  <r>
    <s v="ORD00014"/>
    <x v="230"/>
    <s v="CUST1116"/>
    <s v="Chinedu Ibrahim"/>
    <x v="0"/>
    <s v="Warri"/>
    <s v="Delta"/>
    <x v="1"/>
    <x v="1"/>
    <s v="Accessories"/>
    <n v="4"/>
    <n v="32700"/>
    <n v="83200"/>
    <n v="130800"/>
    <n v="0"/>
    <n v="0"/>
    <n v="130800"/>
    <n v="47600"/>
    <x v="3"/>
    <s v="Express"/>
    <s v="Delivered"/>
    <n v="0.36391437308868502"/>
  </r>
  <r>
    <s v="ORD00179"/>
    <x v="230"/>
    <s v="CUST1025"/>
    <s v="Daniel Adeyemi"/>
    <x v="1"/>
    <s v="Ikeja"/>
    <s v="Lagos"/>
    <x v="2"/>
    <x v="9"/>
    <s v="Furniture"/>
    <n v="4"/>
    <n v="129500"/>
    <n v="324000"/>
    <n v="518000"/>
    <n v="0.05"/>
    <n v="25900"/>
    <n v="492100"/>
    <n v="168100"/>
    <x v="3"/>
    <s v="Standard"/>
    <s v="Delivered"/>
    <n v="0.34159723633407851"/>
  </r>
  <r>
    <s v="ORD00202"/>
    <x v="230"/>
    <s v="CUST1136"/>
    <s v="Chinedu Ojo"/>
    <x v="1"/>
    <s v="Ilorin"/>
    <s v="Kwara"/>
    <x v="0"/>
    <x v="5"/>
    <s v="Furniture"/>
    <n v="7"/>
    <n v="167700"/>
    <n v="868700"/>
    <n v="1173900"/>
    <n v="0"/>
    <n v="0"/>
    <n v="1173900"/>
    <n v="305200"/>
    <x v="1"/>
    <s v="Standard"/>
    <s v="Delivered"/>
    <n v="0.25998807394156231"/>
  </r>
  <r>
    <s v="ORD00211"/>
    <x v="230"/>
    <s v="CUST1013"/>
    <s v="Peter Afolabi"/>
    <x v="1"/>
    <s v="Lagos"/>
    <s v="Lagos"/>
    <x v="2"/>
    <x v="7"/>
    <s v="Office Equipment"/>
    <n v="1"/>
    <n v="221700"/>
    <n v="154700"/>
    <n v="221700"/>
    <n v="0"/>
    <n v="0"/>
    <n v="221700"/>
    <n v="67000"/>
    <x v="4"/>
    <s v="Express"/>
    <s v="Pending"/>
    <n v="0.30221019395579612"/>
  </r>
  <r>
    <s v="ORD00349"/>
    <x v="230"/>
    <s v="CUST1219"/>
    <s v="Janet Adeyemi"/>
    <x v="1"/>
    <s v="Abeokuta"/>
    <s v="Ogun"/>
    <x v="2"/>
    <x v="7"/>
    <s v="Office Equipment"/>
    <n v="3"/>
    <n v="223400"/>
    <n v="451800"/>
    <n v="670200"/>
    <n v="0.05"/>
    <n v="33510"/>
    <n v="636690"/>
    <n v="184890"/>
    <x v="0"/>
    <s v="Standard"/>
    <s v="Delivered"/>
    <n v="0.29039249870423589"/>
  </r>
  <r>
    <s v="ORD00464"/>
    <x v="230"/>
    <s v="CUST1119"/>
    <s v="Ibrahim Yusuf"/>
    <x v="0"/>
    <s v="Port Harcourt"/>
    <s v="Rivers"/>
    <x v="1"/>
    <x v="0"/>
    <s v="Electronics"/>
    <n v="3"/>
    <n v="419200"/>
    <n v="1006800"/>
    <n v="1257600"/>
    <n v="0.05"/>
    <n v="62880"/>
    <n v="1194720"/>
    <n v="187920"/>
    <x v="4"/>
    <s v="Standard"/>
    <s v="Delivered"/>
    <n v="0.157292085174769"/>
  </r>
  <r>
    <s v="ORD00127"/>
    <x v="231"/>
    <s v="CUST1046"/>
    <s v="Sarah Musa"/>
    <x v="0"/>
    <s v="Ikeja"/>
    <s v="Lagos"/>
    <x v="2"/>
    <x v="3"/>
    <s v="Accessories"/>
    <n v="8"/>
    <n v="65800"/>
    <n v="336800"/>
    <n v="526400"/>
    <n v="0.05"/>
    <n v="26320"/>
    <n v="500080"/>
    <n v="163280"/>
    <x v="0"/>
    <s v="Standard"/>
    <s v="Delivered"/>
    <n v="0.32650775875859861"/>
  </r>
  <r>
    <s v="ORD00038"/>
    <x v="232"/>
    <s v="CUST1217"/>
    <s v="Ngozi Okoro"/>
    <x v="1"/>
    <s v="Benin City"/>
    <s v="Edo"/>
    <x v="1"/>
    <x v="0"/>
    <s v="Electronics"/>
    <n v="6"/>
    <n v="452700"/>
    <n v="1989600"/>
    <n v="2716200"/>
    <n v="0"/>
    <n v="0"/>
    <n v="2716200"/>
    <n v="726600"/>
    <x v="4"/>
    <s v="Standard"/>
    <s v="Delivered"/>
    <n v="0.26750607466313231"/>
  </r>
  <r>
    <s v="ORD00186"/>
    <x v="232"/>
    <s v="CUST1206"/>
    <s v="John Lawal"/>
    <x v="0"/>
    <s v="Ibadan"/>
    <s v="Oyo"/>
    <x v="2"/>
    <x v="7"/>
    <s v="Office Equipment"/>
    <n v="6"/>
    <n v="223800"/>
    <n v="918000"/>
    <n v="1342800"/>
    <n v="0.05"/>
    <n v="67140"/>
    <n v="1275660"/>
    <n v="357660"/>
    <x v="0"/>
    <s v="Express"/>
    <s v="Delivered"/>
    <n v="0.28037251305206717"/>
  </r>
  <r>
    <s v="ORD00389"/>
    <x v="232"/>
    <s v="CUST1137"/>
    <s v="Ngozi Adeyemi"/>
    <x v="0"/>
    <s v="Warri"/>
    <s v="Delta"/>
    <x v="1"/>
    <x v="11"/>
    <s v="Furniture"/>
    <n v="6"/>
    <n v="257000"/>
    <n v="1019400"/>
    <n v="1542000"/>
    <n v="0"/>
    <n v="0"/>
    <n v="1542000"/>
    <n v="522600"/>
    <x v="0"/>
    <s v="Express"/>
    <s v="Delivered"/>
    <n v="0.33891050583657589"/>
  </r>
  <r>
    <s v="ORD00473"/>
    <x v="233"/>
    <s v="CUST1215"/>
    <s v="Favour Eze"/>
    <x v="1"/>
    <s v="Ilorin"/>
    <s v="Kwara"/>
    <x v="0"/>
    <x v="10"/>
    <s v="Electronics"/>
    <n v="8"/>
    <n v="300900"/>
    <n v="1712000"/>
    <n v="2407200"/>
    <n v="0"/>
    <n v="0"/>
    <n v="2407200"/>
    <n v="695200"/>
    <x v="2"/>
    <s v="Standard"/>
    <s v="Delivered"/>
    <n v="0.28880026586905949"/>
  </r>
  <r>
    <s v="ORD00094"/>
    <x v="234"/>
    <s v="CUST1068"/>
    <s v="Oluwaseun Bello"/>
    <x v="1"/>
    <s v="Enugu"/>
    <s v="Enugu"/>
    <x v="3"/>
    <x v="11"/>
    <s v="Furniture"/>
    <n v="3"/>
    <n v="252100"/>
    <n v="484200"/>
    <n v="756300"/>
    <n v="0"/>
    <n v="0"/>
    <n v="756300"/>
    <n v="272100"/>
    <x v="1"/>
    <s v="Standard"/>
    <s v="Delivered"/>
    <n v="0.35977786592621969"/>
  </r>
  <r>
    <s v="ORD00381"/>
    <x v="234"/>
    <s v="CUST1223"/>
    <s v="Peter Okoro"/>
    <x v="0"/>
    <s v="Abuja"/>
    <s v="FCT"/>
    <x v="0"/>
    <x v="0"/>
    <s v="Electronics"/>
    <n v="2"/>
    <n v="421200"/>
    <n v="654600"/>
    <n v="842400"/>
    <n v="0"/>
    <n v="0"/>
    <n v="842400"/>
    <n v="187800"/>
    <x v="4"/>
    <s v="Express"/>
    <s v="Delivered"/>
    <n v="0.22293447293447291"/>
  </r>
  <r>
    <s v="ORD00490"/>
    <x v="234"/>
    <s v="CUST1115"/>
    <s v="Yemi Williams"/>
    <x v="0"/>
    <s v="Ikeja"/>
    <s v="Lagos"/>
    <x v="2"/>
    <x v="10"/>
    <s v="Electronics"/>
    <n v="3"/>
    <n v="290600"/>
    <n v="635700"/>
    <n v="871800"/>
    <n v="0.02"/>
    <n v="17436"/>
    <n v="854364"/>
    <n v="218664"/>
    <x v="2"/>
    <s v="Express"/>
    <s v="Delivered"/>
    <n v="0.25593775018610337"/>
  </r>
  <r>
    <s v="ORD00498"/>
    <x v="235"/>
    <s v="CUST1177"/>
    <s v="Tunde Adebayo"/>
    <x v="1"/>
    <s v="Ibadan"/>
    <s v="Oyo"/>
    <x v="2"/>
    <x v="11"/>
    <s v="Furniture"/>
    <n v="8"/>
    <n v="231600"/>
    <n v="1310400"/>
    <n v="1852800"/>
    <n v="0"/>
    <n v="0"/>
    <n v="1852800"/>
    <n v="542400"/>
    <x v="1"/>
    <s v="Pickup"/>
    <s v="Delivered"/>
    <n v="0.29274611398963729"/>
  </r>
  <r>
    <s v="ORD00230"/>
    <x v="236"/>
    <s v="CUST1143"/>
    <s v="John Nwosu"/>
    <x v="1"/>
    <s v="Abeokuta"/>
    <s v="Ogun"/>
    <x v="2"/>
    <x v="11"/>
    <s v="Furniture"/>
    <n v="2"/>
    <n v="258800"/>
    <n v="323200"/>
    <n v="517600"/>
    <n v="0.02"/>
    <n v="10352"/>
    <n v="507248"/>
    <n v="184048"/>
    <x v="0"/>
    <s v="Standard"/>
    <s v="Delivered"/>
    <n v="0.36283632463804688"/>
  </r>
  <r>
    <s v="ORD00400"/>
    <x v="237"/>
    <s v="CUST1042"/>
    <s v="Tunde Lawal"/>
    <x v="1"/>
    <s v="Lagos"/>
    <s v="Lagos"/>
    <x v="2"/>
    <x v="8"/>
    <s v="Accessories"/>
    <n v="4"/>
    <n v="89900"/>
    <n v="204000"/>
    <n v="359600"/>
    <n v="0.02"/>
    <n v="7192"/>
    <n v="352408"/>
    <n v="148408"/>
    <x v="1"/>
    <s v="Standard"/>
    <s v="Pending"/>
    <n v="0.42112551360922568"/>
  </r>
  <r>
    <s v="ORD00302"/>
    <x v="238"/>
    <s v="CUST1160"/>
    <s v="Grace Ibrahim"/>
    <x v="0"/>
    <s v="Kano"/>
    <s v="Kano"/>
    <x v="4"/>
    <x v="9"/>
    <s v="Furniture"/>
    <n v="2"/>
    <n v="127100"/>
    <n v="154800"/>
    <n v="254200"/>
    <n v="0.1"/>
    <n v="25420"/>
    <n v="228780"/>
    <n v="73980"/>
    <x v="0"/>
    <s v="Pickup"/>
    <s v="Pending"/>
    <n v="0.32336742722265932"/>
  </r>
  <r>
    <s v="ORD00119"/>
    <x v="239"/>
    <s v="CUST1130"/>
    <s v="John Bello"/>
    <x v="0"/>
    <s v="Enugu"/>
    <s v="Enugu"/>
    <x v="3"/>
    <x v="11"/>
    <s v="Furniture"/>
    <n v="4"/>
    <n v="254000"/>
    <n v="663200"/>
    <n v="1016000"/>
    <n v="0.02"/>
    <n v="20320"/>
    <n v="995680"/>
    <n v="332480"/>
    <x v="0"/>
    <s v="Standard"/>
    <s v="Delivered"/>
    <n v="0.33392254539611121"/>
  </r>
  <r>
    <s v="ORD00185"/>
    <x v="239"/>
    <s v="CUST1084"/>
    <s v="Samuel Williams"/>
    <x v="0"/>
    <s v="Port Harcourt"/>
    <s v="Rivers"/>
    <x v="1"/>
    <x v="3"/>
    <s v="Accessories"/>
    <n v="6"/>
    <n v="68800"/>
    <n v="253200"/>
    <n v="412800"/>
    <n v="0"/>
    <n v="0"/>
    <n v="0"/>
    <n v="0"/>
    <x v="1"/>
    <s v="Standard"/>
    <s v="Cancelled"/>
    <n v="0"/>
  </r>
  <r>
    <s v="ORD00114"/>
    <x v="240"/>
    <s v="CUST1162"/>
    <s v="Esther Ibrahim"/>
    <x v="0"/>
    <s v="Ibadan"/>
    <s v="Oyo"/>
    <x v="2"/>
    <x v="8"/>
    <s v="Accessories"/>
    <n v="8"/>
    <n v="86200"/>
    <n v="400000"/>
    <n v="689600"/>
    <n v="0"/>
    <n v="0"/>
    <n v="689600"/>
    <n v="289600"/>
    <x v="1"/>
    <s v="Standard"/>
    <s v="Delivered"/>
    <n v="0.41995359628770301"/>
  </r>
  <r>
    <s v="ORD00450"/>
    <x v="240"/>
    <s v="CUST1032"/>
    <s v="John Balogun"/>
    <x v="1"/>
    <s v="Kano"/>
    <s v="Kano"/>
    <x v="4"/>
    <x v="1"/>
    <s v="Accessories"/>
    <n v="2"/>
    <n v="34300"/>
    <n v="43000"/>
    <n v="68600"/>
    <n v="0"/>
    <n v="0"/>
    <n v="68600"/>
    <n v="25600"/>
    <x v="2"/>
    <s v="Standard"/>
    <s v="Delivered"/>
    <n v="0.37317784256559772"/>
  </r>
  <r>
    <s v="ORD00472"/>
    <x v="241"/>
    <s v="CUST1102"/>
    <s v="Precious Ibrahim"/>
    <x v="1"/>
    <s v="Abeokuta"/>
    <s v="Ogun"/>
    <x v="2"/>
    <x v="0"/>
    <s v="Electronics"/>
    <n v="5"/>
    <n v="398800"/>
    <n v="1615500"/>
    <n v="1994000"/>
    <n v="0.02"/>
    <n v="39880"/>
    <n v="1954120"/>
    <n v="338620"/>
    <x v="1"/>
    <s v="Standard"/>
    <s v="Delivered"/>
    <n v="0.17328516160727081"/>
  </r>
  <r>
    <s v="ORD00321"/>
    <x v="242"/>
    <s v="CUST1240"/>
    <s v="Oluwaseun Yusuf"/>
    <x v="0"/>
    <s v="Enugu"/>
    <s v="Enugu"/>
    <x v="3"/>
    <x v="3"/>
    <s v="Accessories"/>
    <n v="6"/>
    <n v="68200"/>
    <n v="248400"/>
    <n v="409200"/>
    <n v="0"/>
    <n v="0"/>
    <n v="409200"/>
    <n v="160800"/>
    <x v="2"/>
    <s v="Standard"/>
    <s v="Delivered"/>
    <n v="0.39296187683284461"/>
  </r>
  <r>
    <s v="ORD00048"/>
    <x v="243"/>
    <s v="CUST1030"/>
    <s v="Peter Lawal"/>
    <x v="0"/>
    <s v="Ilorin"/>
    <s v="Kwara"/>
    <x v="0"/>
    <x v="5"/>
    <s v="Furniture"/>
    <n v="3"/>
    <n v="191600"/>
    <n v="378600"/>
    <n v="574800"/>
    <n v="0.1"/>
    <n v="57480"/>
    <n v="517320"/>
    <n v="138720"/>
    <x v="2"/>
    <s v="Standard"/>
    <s v="Delivered"/>
    <n v="0.26815124101136628"/>
  </r>
  <r>
    <s v="ORD00250"/>
    <x v="244"/>
    <s v="CUST1043"/>
    <s v="Yemi Okafor"/>
    <x v="1"/>
    <s v="Ibadan"/>
    <s v="Oyo"/>
    <x v="2"/>
    <x v="4"/>
    <s v="Accessories"/>
    <n v="2"/>
    <n v="42600"/>
    <n v="57200"/>
    <n v="85200"/>
    <n v="0.05"/>
    <n v="4260"/>
    <n v="80940"/>
    <n v="23740"/>
    <x v="4"/>
    <s v="Pickup"/>
    <s v="Delivered"/>
    <n v="0.29330368173956017"/>
  </r>
  <r>
    <s v="ORD00251"/>
    <x v="244"/>
    <s v="CUST1245"/>
    <s v="Amina Bello"/>
    <x v="0"/>
    <s v="Abeokuta"/>
    <s v="Ogun"/>
    <x v="2"/>
    <x v="4"/>
    <s v="Accessories"/>
    <n v="8"/>
    <n v="46500"/>
    <n v="229600"/>
    <n v="372000"/>
    <n v="0.02"/>
    <n v="0"/>
    <n v="0"/>
    <n v="0"/>
    <x v="3"/>
    <s v="Standard"/>
    <s v="Cancelled"/>
    <n v="0"/>
  </r>
  <r>
    <s v="ORD00315"/>
    <x v="245"/>
    <s v="CUST1140"/>
    <s v="Esther Ojo"/>
    <x v="0"/>
    <s v="Ibadan"/>
    <s v="Oyo"/>
    <x v="2"/>
    <x v="2"/>
    <s v="Office Equipment"/>
    <n v="4"/>
    <n v="169300"/>
    <n v="439200"/>
    <n v="677200"/>
    <n v="0.05"/>
    <n v="33860"/>
    <n v="643340"/>
    <n v="204140"/>
    <x v="2"/>
    <s v="Standard"/>
    <s v="Pending"/>
    <n v="0.31731277396089158"/>
  </r>
  <r>
    <s v="ORD00385"/>
    <x v="245"/>
    <s v="CUST1192"/>
    <s v="Favour Lawal"/>
    <x v="0"/>
    <s v="Warri"/>
    <s v="Delta"/>
    <x v="1"/>
    <x v="9"/>
    <s v="Furniture"/>
    <n v="4"/>
    <n v="114400"/>
    <n v="312000"/>
    <n v="457600"/>
    <n v="0"/>
    <n v="0"/>
    <n v="457600"/>
    <n v="145600"/>
    <x v="0"/>
    <s v="Standard"/>
    <s v="Delivered"/>
    <n v="0.31818181818181818"/>
  </r>
  <r>
    <s v="ORD00140"/>
    <x v="246"/>
    <s v="CUST1060"/>
    <s v="Favour Garba"/>
    <x v="1"/>
    <s v="Warri"/>
    <s v="Delta"/>
    <x v="1"/>
    <x v="3"/>
    <s v="Accessories"/>
    <n v="2"/>
    <n v="66000"/>
    <n v="84200"/>
    <n v="132000"/>
    <n v="0.08"/>
    <n v="10560"/>
    <n v="121440"/>
    <n v="37240"/>
    <x v="1"/>
    <s v="Standard"/>
    <s v="Delivered"/>
    <n v="0.30665349143610021"/>
  </r>
  <r>
    <s v="ORD00013"/>
    <x v="247"/>
    <s v="CUST1229"/>
    <s v="Amina Adeyemi"/>
    <x v="1"/>
    <s v="Benin City"/>
    <s v="Edo"/>
    <x v="1"/>
    <x v="11"/>
    <s v="Furniture"/>
    <n v="1"/>
    <n v="259100"/>
    <n v="161900"/>
    <n v="259100"/>
    <n v="0.1"/>
    <n v="25910"/>
    <n v="233190"/>
    <n v="71290"/>
    <x v="0"/>
    <s v="Standard"/>
    <s v="Delivered"/>
    <n v="0.30571636862644203"/>
  </r>
  <r>
    <s v="ORD00150"/>
    <x v="247"/>
    <s v="CUST1088"/>
    <s v="Ngozi Lawal"/>
    <x v="1"/>
    <s v="Ilorin"/>
    <s v="Kwara"/>
    <x v="0"/>
    <x v="4"/>
    <s v="Accessories"/>
    <n v="7"/>
    <n v="46100"/>
    <n v="202300"/>
    <n v="322700"/>
    <n v="0.05"/>
    <n v="16135"/>
    <n v="306565"/>
    <n v="104265"/>
    <x v="1"/>
    <s v="Standard"/>
    <s v="Delivered"/>
    <n v="0.34010731818700762"/>
  </r>
  <r>
    <s v="ORD00427"/>
    <x v="247"/>
    <s v="CUST1221"/>
    <s v="Ibrahim Williams"/>
    <x v="0"/>
    <s v="Abuja"/>
    <s v="FCT"/>
    <x v="0"/>
    <x v="3"/>
    <s v="Accessories"/>
    <n v="2"/>
    <n v="64600"/>
    <n v="86000"/>
    <n v="129200"/>
    <n v="0"/>
    <n v="0"/>
    <n v="129200"/>
    <n v="43200"/>
    <x v="2"/>
    <s v="Standard"/>
    <s v="Delivered"/>
    <n v="0.33436532507739941"/>
  </r>
  <r>
    <s v="ORD00015"/>
    <x v="248"/>
    <s v="CUST1195"/>
    <s v="Tunde Garba"/>
    <x v="0"/>
    <s v="Ilorin"/>
    <s v="Kwara"/>
    <x v="0"/>
    <x v="0"/>
    <s v="Electronics"/>
    <n v="6"/>
    <n v="433200"/>
    <n v="2067600"/>
    <n v="2599200"/>
    <n v="0"/>
    <n v="0"/>
    <n v="2599200"/>
    <n v="531600"/>
    <x v="0"/>
    <s v="Express"/>
    <s v="Delivered"/>
    <n v="0.20452446906740529"/>
  </r>
  <r>
    <s v="ORD00282"/>
    <x v="248"/>
    <s v="CUST1023"/>
    <s v="Sarah Nwosu"/>
    <x v="1"/>
    <s v="Kano"/>
    <s v="Kano"/>
    <x v="4"/>
    <x v="7"/>
    <s v="Office Equipment"/>
    <n v="2"/>
    <n v="210200"/>
    <n v="292600"/>
    <n v="420400"/>
    <n v="0"/>
    <n v="0"/>
    <n v="420400"/>
    <n v="127800"/>
    <x v="4"/>
    <s v="Standard"/>
    <s v="Delivered"/>
    <n v="0.30399619410085632"/>
  </r>
  <r>
    <s v="ORD00499"/>
    <x v="248"/>
    <s v="CUST1146"/>
    <s v="John Ibrahim"/>
    <x v="0"/>
    <s v="Ibadan"/>
    <s v="Oyo"/>
    <x v="2"/>
    <x v="3"/>
    <s v="Accessories"/>
    <n v="2"/>
    <n v="68000"/>
    <n v="84800"/>
    <n v="136000"/>
    <n v="0"/>
    <n v="0"/>
    <n v="136000"/>
    <n v="51200"/>
    <x v="3"/>
    <s v="Standard"/>
    <s v="Delivered"/>
    <n v="0.37647058823529411"/>
  </r>
  <r>
    <s v="ORD00182"/>
    <x v="249"/>
    <s v="CUST1163"/>
    <s v="Amina Garba"/>
    <x v="0"/>
    <s v="Warri"/>
    <s v="Delta"/>
    <x v="1"/>
    <x v="5"/>
    <s v="Furniture"/>
    <n v="8"/>
    <n v="182200"/>
    <n v="1019200"/>
    <n v="1457600"/>
    <n v="0.05"/>
    <n v="72880"/>
    <n v="1384720"/>
    <n v="365520"/>
    <x v="0"/>
    <s v="Standard"/>
    <s v="Delivered"/>
    <n v="0.26396672251429892"/>
  </r>
  <r>
    <s v="ORD00394"/>
    <x v="249"/>
    <s v="CUST1054"/>
    <s v="Chinedu Nwosu"/>
    <x v="0"/>
    <s v="Port Harcourt"/>
    <s v="Rivers"/>
    <x v="1"/>
    <x v="8"/>
    <s v="Accessories"/>
    <n v="7"/>
    <n v="90200"/>
    <n v="364000"/>
    <n v="631400"/>
    <n v="0.02"/>
    <n v="12628"/>
    <n v="618772"/>
    <n v="254772"/>
    <x v="3"/>
    <s v="Standard"/>
    <s v="Delivered"/>
    <n v="0.41173808769627579"/>
  </r>
  <r>
    <s v="ORD00110"/>
    <x v="250"/>
    <s v="CUST1062"/>
    <s v="Yemi Balogun"/>
    <x v="0"/>
    <s v="Onitsha"/>
    <s v="Anambra"/>
    <x v="3"/>
    <x v="5"/>
    <s v="Furniture"/>
    <n v="7"/>
    <n v="183300"/>
    <n v="861000"/>
    <n v="1283100"/>
    <n v="0.08"/>
    <n v="102648"/>
    <n v="1180452"/>
    <n v="319452"/>
    <x v="0"/>
    <s v="Pickup"/>
    <s v="Pending"/>
    <n v="0.27061837330107452"/>
  </r>
  <r>
    <s v="ORD00373"/>
    <x v="250"/>
    <s v="CUST1188"/>
    <s v="Amina Lawal"/>
    <x v="0"/>
    <s v="Warri"/>
    <s v="Delta"/>
    <x v="1"/>
    <x v="3"/>
    <s v="Accessories"/>
    <n v="6"/>
    <n v="61700"/>
    <n v="258000"/>
    <n v="370200"/>
    <n v="0"/>
    <n v="0"/>
    <n v="370200"/>
    <n v="112200"/>
    <x v="0"/>
    <s v="Standard"/>
    <s v="Delivered"/>
    <n v="0.30307941653160447"/>
  </r>
  <r>
    <s v="ORD00415"/>
    <x v="250"/>
    <s v="CUST1134"/>
    <s v="Precious Garba"/>
    <x v="1"/>
    <s v="Lagos"/>
    <s v="Lagos"/>
    <x v="2"/>
    <x v="3"/>
    <s v="Accessories"/>
    <n v="1"/>
    <n v="64000"/>
    <n v="42600"/>
    <n v="64000"/>
    <n v="0.02"/>
    <n v="1280"/>
    <n v="62720"/>
    <n v="20120"/>
    <x v="4"/>
    <s v="Standard"/>
    <s v="Delivered"/>
    <n v="0.32079081632653061"/>
  </r>
  <r>
    <s v="ORD00105"/>
    <x v="251"/>
    <s v="CUST1192"/>
    <s v="Michael Okafor"/>
    <x v="1"/>
    <s v="Lagos"/>
    <s v="Lagos"/>
    <x v="2"/>
    <x v="0"/>
    <s v="Electronics"/>
    <n v="5"/>
    <n v="438600"/>
    <n v="1711500"/>
    <n v="2193000"/>
    <n v="0.05"/>
    <n v="109650"/>
    <n v="2083350"/>
    <n v="371850"/>
    <x v="2"/>
    <s v="Standard"/>
    <s v="Delivered"/>
    <n v="0.17848657210742311"/>
  </r>
  <r>
    <s v="ORD00198"/>
    <x v="252"/>
    <s v="CUST1040"/>
    <s v="Chinedu Nwosu"/>
    <x v="0"/>
    <s v="Ibadan"/>
    <s v="Oyo"/>
    <x v="2"/>
    <x v="0"/>
    <s v="Electronics"/>
    <n v="4"/>
    <n v="429300"/>
    <n v="1366000"/>
    <n v="1717200"/>
    <n v="0.02"/>
    <n v="34344"/>
    <n v="1682856"/>
    <n v="316856"/>
    <x v="2"/>
    <s v="Standard"/>
    <s v="Delivered"/>
    <n v="0.1882846779522431"/>
  </r>
  <r>
    <s v="ORD00429"/>
    <x v="252"/>
    <s v="CUST1019"/>
    <s v="Precious Adeyemi"/>
    <x v="1"/>
    <s v="Lagos"/>
    <s v="Lagos"/>
    <x v="2"/>
    <x v="8"/>
    <s v="Accessories"/>
    <n v="7"/>
    <n v="82100"/>
    <n v="364700"/>
    <n v="574700"/>
    <n v="0.05"/>
    <n v="28735"/>
    <n v="545965"/>
    <n v="181265"/>
    <x v="2"/>
    <s v="Standard"/>
    <s v="Delivered"/>
    <n v="0.33200846208090262"/>
  </r>
  <r>
    <s v="ORD00231"/>
    <x v="253"/>
    <s v="CUST1156"/>
    <s v="Mary Obi"/>
    <x v="0"/>
    <s v="Abuja"/>
    <s v="FCT"/>
    <x v="0"/>
    <x v="5"/>
    <s v="Furniture"/>
    <n v="3"/>
    <n v="182300"/>
    <n v="364500"/>
    <n v="546900"/>
    <n v="0.05"/>
    <n v="27345"/>
    <n v="519555"/>
    <n v="155055"/>
    <x v="1"/>
    <s v="Standard"/>
    <s v="Delivered"/>
    <n v="0.29843808643935682"/>
  </r>
  <r>
    <s v="ORD00152"/>
    <x v="254"/>
    <s v="CUST1008"/>
    <s v="Kemi Ibrahim"/>
    <x v="1"/>
    <s v="Warri"/>
    <s v="Delta"/>
    <x v="1"/>
    <x v="2"/>
    <s v="Office Equipment"/>
    <n v="3"/>
    <n v="151900"/>
    <n v="327300"/>
    <n v="455700"/>
    <n v="0"/>
    <n v="0"/>
    <n v="455700"/>
    <n v="128400"/>
    <x v="2"/>
    <s v="Pickup"/>
    <s v="Delivered"/>
    <n v="0.28176431863067808"/>
  </r>
  <r>
    <s v="ORD00209"/>
    <x v="254"/>
    <s v="CUST1070"/>
    <s v="Esther Ibrahim"/>
    <x v="0"/>
    <s v="Kano"/>
    <s v="Kano"/>
    <x v="4"/>
    <x v="7"/>
    <s v="Office Equipment"/>
    <n v="6"/>
    <n v="198200"/>
    <n v="897600"/>
    <n v="1189200"/>
    <n v="0.1"/>
    <n v="118920"/>
    <n v="1070280"/>
    <n v="172680"/>
    <x v="4"/>
    <s v="Standard"/>
    <s v="Delivered"/>
    <n v="0.16134095750644689"/>
  </r>
  <r>
    <s v="ORD00108"/>
    <x v="255"/>
    <s v="CUST1002"/>
    <s v="Amina Adeyemi"/>
    <x v="0"/>
    <s v="Port Harcourt"/>
    <s v="Rivers"/>
    <x v="1"/>
    <x v="1"/>
    <s v="Accessories"/>
    <n v="6"/>
    <n v="33400"/>
    <n v="124200"/>
    <n v="200400"/>
    <n v="0.05"/>
    <n v="10020"/>
    <n v="190380"/>
    <n v="66180"/>
    <x v="0"/>
    <s v="Express"/>
    <s v="Pending"/>
    <n v="0.34762054837693029"/>
  </r>
  <r>
    <s v="ORD00489"/>
    <x v="256"/>
    <s v="CUST1218"/>
    <s v="Sarah Okoro"/>
    <x v="1"/>
    <s v="Kano"/>
    <s v="Kano"/>
    <x v="4"/>
    <x v="3"/>
    <s v="Accessories"/>
    <n v="2"/>
    <n v="69100"/>
    <n v="86200"/>
    <n v="138200"/>
    <n v="0.05"/>
    <n v="6910"/>
    <n v="131290"/>
    <n v="45090"/>
    <x v="0"/>
    <s v="Pickup"/>
    <s v="Delivered"/>
    <n v="0.34343819026582367"/>
  </r>
  <r>
    <s v="ORD00034"/>
    <x v="257"/>
    <s v="CUST1105"/>
    <s v="Samuel Nwosu"/>
    <x v="0"/>
    <s v="Warri"/>
    <s v="Delta"/>
    <x v="1"/>
    <x v="5"/>
    <s v="Furniture"/>
    <n v="6"/>
    <n v="181800"/>
    <n v="734400"/>
    <n v="1090800"/>
    <n v="0.05"/>
    <n v="54540"/>
    <n v="1036260"/>
    <n v="301860"/>
    <x v="3"/>
    <s v="Standard"/>
    <s v="Delivered"/>
    <n v="0.29129755080771241"/>
  </r>
  <r>
    <s v="ORD00432"/>
    <x v="257"/>
    <s v="CUST1143"/>
    <s v="Precious Okoro"/>
    <x v="0"/>
    <s v="Benin City"/>
    <s v="Edo"/>
    <x v="1"/>
    <x v="5"/>
    <s v="Furniture"/>
    <n v="6"/>
    <n v="174500"/>
    <n v="732000"/>
    <n v="1047000"/>
    <n v="0.08"/>
    <n v="83760"/>
    <n v="963240"/>
    <n v="231240"/>
    <x v="2"/>
    <s v="Standard"/>
    <s v="Delivered"/>
    <n v="0.24006478136290019"/>
  </r>
  <r>
    <s v="ORD00283"/>
    <x v="258"/>
    <s v="CUST1135"/>
    <s v="Kemi Johnson"/>
    <x v="0"/>
    <s v="Lagos"/>
    <s v="Lagos"/>
    <x v="2"/>
    <x v="1"/>
    <s v="Accessories"/>
    <n v="6"/>
    <n v="33700"/>
    <n v="123000"/>
    <n v="202200"/>
    <n v="0.05"/>
    <n v="10110"/>
    <n v="192090"/>
    <n v="69090"/>
    <x v="3"/>
    <s v="Standard"/>
    <s v="Delivered"/>
    <n v="0.35967515227237229"/>
  </r>
  <r>
    <s v="ORD00033"/>
    <x v="259"/>
    <s v="CUST1201"/>
    <s v="Daniel Nwosu"/>
    <x v="0"/>
    <s v="Ilorin"/>
    <s v="Kwara"/>
    <x v="0"/>
    <x v="3"/>
    <s v="Accessories"/>
    <n v="5"/>
    <n v="60200"/>
    <n v="208500"/>
    <n v="301000"/>
    <n v="0.1"/>
    <n v="30100"/>
    <n v="270900"/>
    <n v="62400"/>
    <x v="0"/>
    <s v="Standard"/>
    <s v="Delivered"/>
    <n v="0.230343300110742"/>
  </r>
  <r>
    <s v="ORD00386"/>
    <x v="260"/>
    <s v="CUST1100"/>
    <s v="Ibrahim Lawal"/>
    <x v="0"/>
    <s v="Enugu"/>
    <s v="Enugu"/>
    <x v="3"/>
    <x v="1"/>
    <s v="Accessories"/>
    <n v="1"/>
    <n v="34300"/>
    <n v="21400"/>
    <n v="34300"/>
    <n v="0.08"/>
    <n v="2744"/>
    <n v="31556"/>
    <n v="10156"/>
    <x v="1"/>
    <s v="Standard"/>
    <s v="Delivered"/>
    <n v="0.32184053745721891"/>
  </r>
  <r>
    <s v="ORD00470"/>
    <x v="260"/>
    <s v="CUST1174"/>
    <s v="Mary Williams"/>
    <x v="1"/>
    <s v="Warri"/>
    <s v="Delta"/>
    <x v="1"/>
    <x v="1"/>
    <s v="Accessories"/>
    <n v="3"/>
    <n v="32600"/>
    <n v="63900"/>
    <n v="97800"/>
    <n v="0.05"/>
    <n v="4890"/>
    <n v="92910"/>
    <n v="29010"/>
    <x v="4"/>
    <s v="Standard"/>
    <s v="Delivered"/>
    <n v="0.31223764933806908"/>
  </r>
  <r>
    <s v="ORD00206"/>
    <x v="261"/>
    <s v="CUST1068"/>
    <s v="Tunde Adeyemi"/>
    <x v="0"/>
    <s v="Ibadan"/>
    <s v="Oyo"/>
    <x v="2"/>
    <x v="3"/>
    <s v="Accessories"/>
    <n v="2"/>
    <n v="60400"/>
    <n v="83000"/>
    <n v="120800"/>
    <n v="0"/>
    <n v="0"/>
    <n v="0"/>
    <n v="0"/>
    <x v="0"/>
    <s v="Standard"/>
    <s v="Cancelled"/>
    <n v="0"/>
  </r>
  <r>
    <s v="ORD00454"/>
    <x v="261"/>
    <s v="CUST1146"/>
    <s v="Chinedu Eze"/>
    <x v="0"/>
    <s v="Warri"/>
    <s v="Delta"/>
    <x v="1"/>
    <x v="0"/>
    <s v="Electronics"/>
    <n v="1"/>
    <n v="389600"/>
    <n v="347000"/>
    <n v="389600"/>
    <n v="0.05"/>
    <n v="19480"/>
    <n v="370120"/>
    <n v="23120"/>
    <x v="4"/>
    <s v="Express"/>
    <s v="Delivered"/>
    <n v="6.2466227169566617E-2"/>
  </r>
  <r>
    <s v="ORD00314"/>
    <x v="262"/>
    <s v="CUST1010"/>
    <s v="Tunde Okafor"/>
    <x v="1"/>
    <s v="Ibadan"/>
    <s v="Oyo"/>
    <x v="2"/>
    <x v="7"/>
    <s v="Office Equipment"/>
    <n v="2"/>
    <n v="193400"/>
    <n v="289400"/>
    <n v="386800"/>
    <n v="0.08"/>
    <n v="30944"/>
    <n v="355856"/>
    <n v="66456"/>
    <x v="0"/>
    <s v="Pickup"/>
    <s v="Delivered"/>
    <n v="0.18674969650645201"/>
  </r>
  <r>
    <s v="ORD00123"/>
    <x v="263"/>
    <s v="CUST1090"/>
    <s v="Chinedu Udo"/>
    <x v="0"/>
    <s v="Abeokuta"/>
    <s v="Ogun"/>
    <x v="2"/>
    <x v="2"/>
    <s v="Office Equipment"/>
    <n v="1"/>
    <n v="162600"/>
    <n v="116000"/>
    <n v="162600"/>
    <n v="0.05"/>
    <n v="8130"/>
    <n v="154470"/>
    <n v="38470"/>
    <x v="2"/>
    <s v="Pickup"/>
    <s v="Delivered"/>
    <n v="0.24904512203016771"/>
  </r>
  <r>
    <s v="ORD00080"/>
    <x v="264"/>
    <s v="CUST1086"/>
    <s v="Grace Williams"/>
    <x v="1"/>
    <s v="Port Harcourt"/>
    <s v="Rivers"/>
    <x v="1"/>
    <x v="8"/>
    <s v="Accessories"/>
    <n v="2"/>
    <n v="85700"/>
    <n v="105200"/>
    <n v="171400"/>
    <n v="0.05"/>
    <n v="8570"/>
    <n v="162830"/>
    <n v="57630"/>
    <x v="4"/>
    <s v="Standard"/>
    <s v="Delivered"/>
    <n v="0.35392740895412389"/>
  </r>
  <r>
    <s v="ORD00177"/>
    <x v="265"/>
    <s v="CUST1040"/>
    <s v="Grace Adeyemi"/>
    <x v="0"/>
    <s v="Port Harcourt"/>
    <s v="Rivers"/>
    <x v="1"/>
    <x v="4"/>
    <s v="Accessories"/>
    <n v="4"/>
    <n v="42600"/>
    <n v="113200"/>
    <n v="170400"/>
    <n v="0"/>
    <n v="0"/>
    <n v="170400"/>
    <n v="57200"/>
    <x v="0"/>
    <s v="Standard"/>
    <s v="Pending"/>
    <n v="0.33568075117370888"/>
  </r>
  <r>
    <s v="ORD00168"/>
    <x v="266"/>
    <s v="CUST1106"/>
    <s v="Ibrahim Okafor"/>
    <x v="1"/>
    <s v="Kano"/>
    <s v="Kano"/>
    <x v="4"/>
    <x v="6"/>
    <s v="Electronics"/>
    <n v="4"/>
    <n v="612100"/>
    <n v="2122000"/>
    <n v="2448400"/>
    <n v="0.05"/>
    <n v="0"/>
    <n v="0"/>
    <n v="0"/>
    <x v="3"/>
    <s v="Pickup"/>
    <s v="Cancelled"/>
    <n v="0"/>
  </r>
  <r>
    <s v="ORD00099"/>
    <x v="267"/>
    <s v="CUST1163"/>
    <s v="Precious Ibrahim"/>
    <x v="1"/>
    <s v="Ilorin"/>
    <s v="Kwara"/>
    <x v="0"/>
    <x v="6"/>
    <s v="Electronics"/>
    <n v="1"/>
    <n v="656200"/>
    <n v="504000"/>
    <n v="656200"/>
    <n v="0"/>
    <n v="0"/>
    <n v="656200"/>
    <n v="152200"/>
    <x v="0"/>
    <s v="Standard"/>
    <s v="Delivered"/>
    <n v="0.2319414812557147"/>
  </r>
  <r>
    <s v="ORD00286"/>
    <x v="267"/>
    <s v="CUST1091"/>
    <s v="Daniel Balogun"/>
    <x v="1"/>
    <s v="Ilorin"/>
    <s v="Kwara"/>
    <x v="0"/>
    <x v="1"/>
    <s v="Accessories"/>
    <n v="4"/>
    <n v="37300"/>
    <n v="86800"/>
    <n v="149200"/>
    <n v="0.05"/>
    <n v="7460"/>
    <n v="141740"/>
    <n v="54940"/>
    <x v="2"/>
    <s v="Pickup"/>
    <s v="Delivered"/>
    <n v="0.387611118950190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E9BBB-558A-4A66-BF27-C6AD548DEB3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4">
    <pivotField showAll="0"/>
    <pivotField numFmtId="164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/>
    <pivotField numFmtId="165" showAll="0"/>
    <pivotField showAll="0"/>
    <pivotField showAll="0"/>
    <pivotField showAll="0"/>
    <pivotField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Sales (NGN)" fld="16" baseField="0" baseItem="0" numFmtId="165"/>
  </dataFields>
  <chartFormats count="3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0FF1C-ED21-4585-B6B5-0974191F72B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16" firstHeaderRow="0" firstDataRow="1" firstDataCol="1"/>
  <pivotFields count="24">
    <pivotField showAll="0"/>
    <pivotField numFmtId="164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9"/>
        <item x="1"/>
        <item x="6"/>
        <item x="7"/>
        <item x="5"/>
        <item x="11"/>
        <item x="4"/>
        <item x="2"/>
        <item x="0"/>
        <item x="10"/>
        <item x="3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/>
    <pivotField dataField="1" numFmtId="165" showAll="0"/>
    <pivotField showAll="0"/>
    <pivotField showAll="0"/>
    <pivotField showAll="0"/>
    <pivotField numFmtId="166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 (NGN)" fld="16" baseField="0" baseItem="0" numFmtId="165"/>
    <dataField name="Sum of Profit (NGN)" fld="17" baseField="0" baseItem="0" numFmtId="165"/>
  </dataField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BD9DD-3650-4A5B-A22F-2426FC31BC0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6" firstHeaderRow="1" firstDataRow="1" firstDataCol="1"/>
  <pivotFields count="24">
    <pivotField showAll="0"/>
    <pivotField axis="axisRow" numFmtId="164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/>
    <pivotField numFmtId="165" showAll="0"/>
    <pivotField showAll="0"/>
    <pivotField showAll="0"/>
    <pivotField showAll="0"/>
    <pivotField numFmtId="166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3"/>
    <field x="2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Net Sales (NGN)" fld="16" baseField="0" baseItem="0" numFmtId="165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726D6-A137-4807-B61C-A3E3CBD5DC6F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6" firstHeaderRow="1" firstDataRow="1" firstDataCol="1"/>
  <pivotFields count="24">
    <pivotField showAll="0"/>
    <pivotField numFmtId="164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/>
    <pivotField numFmtId="165" showAll="0"/>
    <pivotField showAll="0"/>
    <pivotField showAll="0"/>
    <pivotField showAll="0"/>
    <pivotField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Sum of Net Sales (NGN)" fld="16" baseField="0" baseItem="0" numFmtId="165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4C9C4-2D14-45BB-B8EB-1EDFD8E301E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9" firstHeaderRow="1" firstDataRow="1" firstDataCol="1"/>
  <pivotFields count="24">
    <pivotField showAll="0"/>
    <pivotField numFmtId="164" showAll="0">
      <items count="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9" showAll="0"/>
    <pivotField numFmtId="165" showAll="0"/>
    <pivotField dataField="1" numFmtId="165" showAll="0"/>
    <pivotField numFmtId="165" showAll="0"/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8"/>
  </rowFields>
  <rowItems count="6">
    <i>
      <x/>
    </i>
    <i>
      <x v="1"/>
    </i>
    <i>
      <x v="3"/>
    </i>
    <i>
      <x v="4"/>
    </i>
    <i>
      <x v="2"/>
    </i>
    <i t="grand">
      <x/>
    </i>
  </rowItems>
  <colItems count="1">
    <i/>
  </colItems>
  <dataFields count="1">
    <dataField name="Sum of Net Sales (NGN)" fld="16" baseField="0" baseItem="0" numFmtId="165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90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E24A-9A06-4001-BF3B-789B12A0E33A}">
  <dimension ref="A3:B9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20.453125" bestFit="1" customWidth="1"/>
  </cols>
  <sheetData>
    <row r="3" spans="1:2" x14ac:dyDescent="0.35">
      <c r="A3" s="7" t="s">
        <v>1115</v>
      </c>
      <c r="B3" t="s">
        <v>1117</v>
      </c>
    </row>
    <row r="4" spans="1:2" x14ac:dyDescent="0.35">
      <c r="A4" s="8" t="s">
        <v>44</v>
      </c>
      <c r="B4" s="3">
        <v>102324070</v>
      </c>
    </row>
    <row r="5" spans="1:2" x14ac:dyDescent="0.35">
      <c r="A5" s="8" t="s">
        <v>196</v>
      </c>
      <c r="B5" s="3">
        <v>48878931</v>
      </c>
    </row>
    <row r="6" spans="1:2" x14ac:dyDescent="0.35">
      <c r="A6" s="8" t="s">
        <v>99</v>
      </c>
      <c r="B6" s="3">
        <v>59790444</v>
      </c>
    </row>
    <row r="7" spans="1:2" x14ac:dyDescent="0.35">
      <c r="A7" s="8" t="s">
        <v>64</v>
      </c>
      <c r="B7" s="3">
        <v>89533837</v>
      </c>
    </row>
    <row r="8" spans="1:2" x14ac:dyDescent="0.35">
      <c r="A8" s="8" t="s">
        <v>74</v>
      </c>
      <c r="B8" s="3">
        <v>147798744</v>
      </c>
    </row>
    <row r="9" spans="1:2" x14ac:dyDescent="0.35">
      <c r="A9" s="8" t="s">
        <v>1116</v>
      </c>
      <c r="B9" s="3">
        <v>448326026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4D60-CC37-4E60-84D5-32AA7C04DAD6}">
  <dimension ref="A1:E69"/>
  <sheetViews>
    <sheetView tabSelected="1" workbookViewId="0">
      <selection activeCell="D44" sqref="D44"/>
    </sheetView>
  </sheetViews>
  <sheetFormatPr defaultRowHeight="14.5" x14ac:dyDescent="0.35"/>
  <cols>
    <col min="1" max="1" width="60.7265625" bestFit="1" customWidth="1"/>
    <col min="3" max="3" width="18.7265625" bestFit="1" customWidth="1"/>
    <col min="5" max="5" width="15.26953125" bestFit="1" customWidth="1"/>
  </cols>
  <sheetData>
    <row r="1" spans="1:5" ht="23.5" x14ac:dyDescent="0.55000000000000004">
      <c r="A1" s="10" t="s">
        <v>1119</v>
      </c>
    </row>
    <row r="3" spans="1:5" ht="18.5" x14ac:dyDescent="0.45">
      <c r="A3" s="11" t="s">
        <v>1120</v>
      </c>
      <c r="B3" s="14"/>
      <c r="C3" s="11" t="s">
        <v>1121</v>
      </c>
      <c r="D3" s="14"/>
      <c r="E3" s="11" t="s">
        <v>37</v>
      </c>
    </row>
    <row r="4" spans="1:5" ht="18.5" x14ac:dyDescent="0.45">
      <c r="A4" s="12">
        <f>SUM('Sales Data'!Q2:Q501)</f>
        <v>448326026</v>
      </c>
      <c r="B4" s="14"/>
      <c r="C4" s="12">
        <f>SUM('Sales Data'!R2:R501)</f>
        <v>102667126</v>
      </c>
      <c r="D4" s="14"/>
      <c r="E4" s="13">
        <f>C4/A4</f>
        <v>0.22900103952474979</v>
      </c>
    </row>
    <row r="58" spans="1:1" ht="18.5" x14ac:dyDescent="0.45">
      <c r="A58" s="9" t="s">
        <v>1134</v>
      </c>
    </row>
    <row r="59" spans="1:1" ht="29" x14ac:dyDescent="0.35">
      <c r="A59" s="15" t="s">
        <v>1135</v>
      </c>
    </row>
    <row r="60" spans="1:1" x14ac:dyDescent="0.35">
      <c r="A60" s="15"/>
    </row>
    <row r="61" spans="1:1" ht="43.5" x14ac:dyDescent="0.35">
      <c r="A61" s="15" t="s">
        <v>1136</v>
      </c>
    </row>
    <row r="62" spans="1:1" x14ac:dyDescent="0.35">
      <c r="A62" s="15"/>
    </row>
    <row r="63" spans="1:1" ht="29" x14ac:dyDescent="0.35">
      <c r="A63" s="15" t="s">
        <v>1137</v>
      </c>
    </row>
    <row r="64" spans="1:1" x14ac:dyDescent="0.35">
      <c r="A64" s="15"/>
    </row>
    <row r="65" spans="1:1" ht="29" x14ac:dyDescent="0.35">
      <c r="A65" s="15" t="s">
        <v>1138</v>
      </c>
    </row>
    <row r="66" spans="1:1" x14ac:dyDescent="0.35">
      <c r="A66" s="15"/>
    </row>
    <row r="67" spans="1:1" ht="43.5" x14ac:dyDescent="0.35">
      <c r="A67" s="15" t="s">
        <v>1139</v>
      </c>
    </row>
    <row r="68" spans="1:1" x14ac:dyDescent="0.35">
      <c r="A68" s="15"/>
    </row>
    <row r="69" spans="1:1" ht="29" x14ac:dyDescent="0.35">
      <c r="A69" s="15" t="s">
        <v>1140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F4BB-5169-42A4-9636-234DFA420ED7}">
  <dimension ref="A3:C16"/>
  <sheetViews>
    <sheetView topLeftCell="B1" workbookViewId="0">
      <selection activeCell="A3" sqref="A3:B15"/>
    </sheetView>
  </sheetViews>
  <sheetFormatPr defaultRowHeight="14.5" x14ac:dyDescent="0.35"/>
  <cols>
    <col min="1" max="1" width="16.1796875" bestFit="1" customWidth="1"/>
    <col min="2" max="2" width="20.453125" bestFit="1" customWidth="1"/>
    <col min="3" max="3" width="17.54296875" bestFit="1" customWidth="1"/>
  </cols>
  <sheetData>
    <row r="3" spans="1:3" x14ac:dyDescent="0.35">
      <c r="A3" s="7" t="s">
        <v>1115</v>
      </c>
      <c r="B3" t="s">
        <v>1117</v>
      </c>
      <c r="C3" t="s">
        <v>1118</v>
      </c>
    </row>
    <row r="4" spans="1:3" x14ac:dyDescent="0.35">
      <c r="A4" s="8" t="s">
        <v>120</v>
      </c>
      <c r="B4" s="3">
        <v>12349620</v>
      </c>
      <c r="C4" s="3">
        <v>4546920</v>
      </c>
    </row>
    <row r="5" spans="1:3" x14ac:dyDescent="0.35">
      <c r="A5" s="8" t="s">
        <v>131</v>
      </c>
      <c r="B5" s="3">
        <v>13662478</v>
      </c>
      <c r="C5" s="3">
        <v>4500578</v>
      </c>
    </row>
    <row r="6" spans="1:3" x14ac:dyDescent="0.35">
      <c r="A6" s="8" t="s">
        <v>55</v>
      </c>
      <c r="B6" s="3">
        <v>6742552</v>
      </c>
      <c r="C6" s="3">
        <v>2589252</v>
      </c>
    </row>
    <row r="7" spans="1:3" x14ac:dyDescent="0.35">
      <c r="A7" s="8" t="s">
        <v>103</v>
      </c>
      <c r="B7" s="3">
        <v>124477136</v>
      </c>
      <c r="C7" s="3">
        <v>21559036</v>
      </c>
    </row>
    <row r="8" spans="1:3" x14ac:dyDescent="0.35">
      <c r="A8" s="8" t="s">
        <v>113</v>
      </c>
      <c r="B8" s="3">
        <v>37013102</v>
      </c>
      <c r="C8" s="3">
        <v>9652802</v>
      </c>
    </row>
    <row r="9" spans="1:3" x14ac:dyDescent="0.35">
      <c r="A9" s="8" t="s">
        <v>90</v>
      </c>
      <c r="B9" s="3">
        <v>36309889</v>
      </c>
      <c r="C9" s="3">
        <v>10225489</v>
      </c>
    </row>
    <row r="10" spans="1:3" x14ac:dyDescent="0.35">
      <c r="A10" s="8" t="s">
        <v>156</v>
      </c>
      <c r="B10" s="3">
        <v>38254884</v>
      </c>
      <c r="C10" s="3">
        <v>11160484</v>
      </c>
    </row>
    <row r="11" spans="1:3" x14ac:dyDescent="0.35">
      <c r="A11" s="8" t="s">
        <v>83</v>
      </c>
      <c r="B11" s="3">
        <v>7232732</v>
      </c>
      <c r="C11" s="3">
        <v>2626732</v>
      </c>
    </row>
    <row r="12" spans="1:3" x14ac:dyDescent="0.35">
      <c r="A12" s="8" t="s">
        <v>65</v>
      </c>
      <c r="B12" s="3">
        <v>16269799</v>
      </c>
      <c r="C12" s="3">
        <v>4331999</v>
      </c>
    </row>
    <row r="13" spans="1:3" x14ac:dyDescent="0.35">
      <c r="A13" s="8" t="s">
        <v>45</v>
      </c>
      <c r="B13" s="3">
        <v>101349691</v>
      </c>
      <c r="C13" s="3">
        <v>18525391</v>
      </c>
    </row>
    <row r="14" spans="1:3" x14ac:dyDescent="0.35">
      <c r="A14" s="8" t="s">
        <v>140</v>
      </c>
      <c r="B14" s="3">
        <v>41523674</v>
      </c>
      <c r="C14" s="3">
        <v>8561174</v>
      </c>
    </row>
    <row r="15" spans="1:3" x14ac:dyDescent="0.35">
      <c r="A15" s="8" t="s">
        <v>75</v>
      </c>
      <c r="B15" s="3">
        <v>13140469</v>
      </c>
      <c r="C15" s="3">
        <v>4387269</v>
      </c>
    </row>
    <row r="16" spans="1:3" x14ac:dyDescent="0.35">
      <c r="A16" s="8" t="s">
        <v>1116</v>
      </c>
      <c r="B16" s="3">
        <v>448326026</v>
      </c>
      <c r="C16" s="3">
        <v>102667126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3E0E-53F2-414C-800C-39CE34DE6115}">
  <dimension ref="A3:B16"/>
  <sheetViews>
    <sheetView workbookViewId="0">
      <selection activeCell="J14" sqref="J14"/>
    </sheetView>
  </sheetViews>
  <sheetFormatPr defaultRowHeight="14.5" x14ac:dyDescent="0.35"/>
  <cols>
    <col min="1" max="1" width="12.36328125" bestFit="1" customWidth="1"/>
    <col min="2" max="2" width="20.453125" bestFit="1" customWidth="1"/>
  </cols>
  <sheetData>
    <row r="3" spans="1:2" x14ac:dyDescent="0.35">
      <c r="A3" s="7" t="s">
        <v>1115</v>
      </c>
      <c r="B3" t="s">
        <v>1117</v>
      </c>
    </row>
    <row r="4" spans="1:2" x14ac:dyDescent="0.35">
      <c r="A4" s="8" t="s">
        <v>1122</v>
      </c>
      <c r="B4" s="3">
        <v>29199827</v>
      </c>
    </row>
    <row r="5" spans="1:2" x14ac:dyDescent="0.35">
      <c r="A5" s="8" t="s">
        <v>1123</v>
      </c>
      <c r="B5" s="3">
        <v>28676970</v>
      </c>
    </row>
    <row r="6" spans="1:2" x14ac:dyDescent="0.35">
      <c r="A6" s="8" t="s">
        <v>1124</v>
      </c>
      <c r="B6" s="3">
        <v>43544958</v>
      </c>
    </row>
    <row r="7" spans="1:2" x14ac:dyDescent="0.35">
      <c r="A7" s="8" t="s">
        <v>1125</v>
      </c>
      <c r="B7" s="3">
        <v>49473373</v>
      </c>
    </row>
    <row r="8" spans="1:2" x14ac:dyDescent="0.35">
      <c r="A8" s="8" t="s">
        <v>1126</v>
      </c>
      <c r="B8" s="3">
        <v>40124087</v>
      </c>
    </row>
    <row r="9" spans="1:2" x14ac:dyDescent="0.35">
      <c r="A9" s="8" t="s">
        <v>1127</v>
      </c>
      <c r="B9" s="3">
        <v>25140220</v>
      </c>
    </row>
    <row r="10" spans="1:2" x14ac:dyDescent="0.35">
      <c r="A10" s="8" t="s">
        <v>1128</v>
      </c>
      <c r="B10" s="3">
        <v>40990769</v>
      </c>
    </row>
    <row r="11" spans="1:2" x14ac:dyDescent="0.35">
      <c r="A11" s="8" t="s">
        <v>1129</v>
      </c>
      <c r="B11" s="3">
        <v>28654831</v>
      </c>
    </row>
    <row r="12" spans="1:2" x14ac:dyDescent="0.35">
      <c r="A12" s="8" t="s">
        <v>1130</v>
      </c>
      <c r="B12" s="3">
        <v>45195010</v>
      </c>
    </row>
    <row r="13" spans="1:2" x14ac:dyDescent="0.35">
      <c r="A13" s="8" t="s">
        <v>1131</v>
      </c>
      <c r="B13" s="3">
        <v>45804989</v>
      </c>
    </row>
    <row r="14" spans="1:2" x14ac:dyDescent="0.35">
      <c r="A14" s="8" t="s">
        <v>1132</v>
      </c>
      <c r="B14" s="3">
        <v>47859465</v>
      </c>
    </row>
    <row r="15" spans="1:2" x14ac:dyDescent="0.35">
      <c r="A15" s="8" t="s">
        <v>1133</v>
      </c>
      <c r="B15" s="3">
        <v>23661527</v>
      </c>
    </row>
    <row r="16" spans="1:2" x14ac:dyDescent="0.35">
      <c r="A16" s="8" t="s">
        <v>1116</v>
      </c>
      <c r="B16" s="3">
        <v>448326026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64BE-C35B-42C8-AAE1-ABF5555DF81D}">
  <dimension ref="A3:B6"/>
  <sheetViews>
    <sheetView workbookViewId="0">
      <selection activeCell="H4" sqref="H4"/>
    </sheetView>
  </sheetViews>
  <sheetFormatPr defaultRowHeight="14.5" x14ac:dyDescent="0.35"/>
  <cols>
    <col min="1" max="1" width="12.36328125" bestFit="1" customWidth="1"/>
    <col min="2" max="2" width="20.453125" bestFit="1" customWidth="1"/>
  </cols>
  <sheetData>
    <row r="3" spans="1:2" x14ac:dyDescent="0.35">
      <c r="A3" s="7" t="s">
        <v>1115</v>
      </c>
      <c r="B3" t="s">
        <v>1117</v>
      </c>
    </row>
    <row r="4" spans="1:2" x14ac:dyDescent="0.35">
      <c r="A4" s="8" t="s">
        <v>41</v>
      </c>
      <c r="B4" s="3">
        <v>263021177</v>
      </c>
    </row>
    <row r="5" spans="1:2" x14ac:dyDescent="0.35">
      <c r="A5" s="8" t="s">
        <v>61</v>
      </c>
      <c r="B5" s="3">
        <v>185304849</v>
      </c>
    </row>
    <row r="6" spans="1:2" x14ac:dyDescent="0.35">
      <c r="A6" s="8" t="s">
        <v>1116</v>
      </c>
      <c r="B6" s="3">
        <v>448326026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0BFF-3FF1-4FF7-BC5D-E1BC142A655B}">
  <dimension ref="A3:B9"/>
  <sheetViews>
    <sheetView workbookViewId="0">
      <selection activeCell="A4" sqref="A4:B8"/>
    </sheetView>
  </sheetViews>
  <sheetFormatPr defaultRowHeight="14.5" x14ac:dyDescent="0.35"/>
  <cols>
    <col min="1" max="1" width="12.36328125" bestFit="1" customWidth="1"/>
    <col min="2" max="2" width="20.453125" bestFit="1" customWidth="1"/>
  </cols>
  <sheetData>
    <row r="3" spans="1:2" x14ac:dyDescent="0.35">
      <c r="A3" s="7" t="s">
        <v>1115</v>
      </c>
      <c r="B3" t="s">
        <v>1117</v>
      </c>
    </row>
    <row r="4" spans="1:2" x14ac:dyDescent="0.35">
      <c r="A4" s="8" t="s">
        <v>67</v>
      </c>
      <c r="B4" s="3">
        <v>117232643</v>
      </c>
    </row>
    <row r="5" spans="1:2" x14ac:dyDescent="0.35">
      <c r="A5" s="8" t="s">
        <v>47</v>
      </c>
      <c r="B5" s="3">
        <v>115764345</v>
      </c>
    </row>
    <row r="6" spans="1:2" x14ac:dyDescent="0.35">
      <c r="A6" s="8" t="s">
        <v>121</v>
      </c>
      <c r="B6" s="3">
        <v>111982847</v>
      </c>
    </row>
    <row r="7" spans="1:2" x14ac:dyDescent="0.35">
      <c r="A7" s="8" t="s">
        <v>57</v>
      </c>
      <c r="B7" s="3">
        <v>62172717</v>
      </c>
    </row>
    <row r="8" spans="1:2" x14ac:dyDescent="0.35">
      <c r="A8" s="8" t="s">
        <v>76</v>
      </c>
      <c r="B8" s="3">
        <v>41173474</v>
      </c>
    </row>
    <row r="9" spans="1:2" x14ac:dyDescent="0.35">
      <c r="A9" s="8" t="s">
        <v>1116</v>
      </c>
      <c r="B9" s="3">
        <v>448326026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2"/>
  <sheetViews>
    <sheetView topLeftCell="L1" zoomScale="82" zoomScaleNormal="100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12.54296875" bestFit="1" customWidth="1"/>
    <col min="2" max="2" width="14.7265625" bestFit="1" customWidth="1"/>
    <col min="3" max="3" width="15.81640625" bestFit="1" customWidth="1"/>
    <col min="4" max="4" width="19" customWidth="1"/>
    <col min="5" max="5" width="18.08984375" bestFit="1" customWidth="1"/>
    <col min="6" max="6" width="12.08984375" bestFit="1" customWidth="1"/>
    <col min="7" max="7" width="9.7265625" bestFit="1" customWidth="1"/>
    <col min="8" max="8" width="12.08984375" bestFit="1" customWidth="1"/>
    <col min="9" max="9" width="16.1796875" bestFit="1" customWidth="1"/>
    <col min="10" max="10" width="15.36328125" bestFit="1" customWidth="1"/>
    <col min="11" max="11" width="12.7265625" bestFit="1" customWidth="1"/>
    <col min="12" max="12" width="19.08984375" bestFit="1" customWidth="1"/>
    <col min="13" max="13" width="14.6328125" bestFit="1" customWidth="1"/>
    <col min="14" max="14" width="20.36328125" bestFit="1" customWidth="1"/>
    <col min="15" max="15" width="17" bestFit="1" customWidth="1"/>
    <col min="16" max="16" width="25.81640625" bestFit="1" customWidth="1"/>
    <col min="17" max="17" width="18.6328125" bestFit="1" customWidth="1"/>
    <col min="18" max="18" width="15.6328125" bestFit="1" customWidth="1"/>
    <col min="19" max="19" width="20.08984375" bestFit="1" customWidth="1"/>
    <col min="20" max="20" width="19.7265625" bestFit="1" customWidth="1"/>
    <col min="21" max="21" width="16" bestFit="1" customWidth="1"/>
    <col min="22" max="22" width="16.453125" bestFit="1" customWidth="1"/>
    <col min="24" max="24" width="12.1796875" bestFit="1" customWidth="1"/>
  </cols>
  <sheetData>
    <row r="1" spans="1:24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spans="1:24" x14ac:dyDescent="0.35">
      <c r="A2" t="s">
        <v>38</v>
      </c>
      <c r="B2" s="2">
        <v>45658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>
        <v>6</v>
      </c>
      <c r="L2" s="3">
        <v>434200</v>
      </c>
      <c r="M2" s="3">
        <v>1961400</v>
      </c>
      <c r="N2" s="3">
        <v>2605200</v>
      </c>
      <c r="O2" s="4">
        <v>0.05</v>
      </c>
      <c r="P2" s="3">
        <v>130260</v>
      </c>
      <c r="Q2" s="3">
        <v>2474940</v>
      </c>
      <c r="R2" s="3">
        <v>513540</v>
      </c>
      <c r="S2" t="s">
        <v>47</v>
      </c>
      <c r="T2" t="s">
        <v>48</v>
      </c>
      <c r="U2" t="s">
        <v>49</v>
      </c>
      <c r="V2" s="5">
        <v>0.20749593929549809</v>
      </c>
      <c r="X2" s="3">
        <f>SUM(Q2:Q501)</f>
        <v>448326026</v>
      </c>
    </row>
    <row r="3" spans="1:24" x14ac:dyDescent="0.35">
      <c r="A3" t="s">
        <v>50</v>
      </c>
      <c r="B3" s="2">
        <v>45659</v>
      </c>
      <c r="C3" t="s">
        <v>51</v>
      </c>
      <c r="D3" t="s">
        <v>52</v>
      </c>
      <c r="E3" t="s">
        <v>41</v>
      </c>
      <c r="F3" t="s">
        <v>53</v>
      </c>
      <c r="G3" t="s">
        <v>54</v>
      </c>
      <c r="H3" t="s">
        <v>44</v>
      </c>
      <c r="I3" t="s">
        <v>55</v>
      </c>
      <c r="J3" t="s">
        <v>56</v>
      </c>
      <c r="K3">
        <v>5</v>
      </c>
      <c r="L3" s="3">
        <v>34800</v>
      </c>
      <c r="M3" s="3">
        <v>104500</v>
      </c>
      <c r="N3" s="3">
        <v>174000</v>
      </c>
      <c r="O3" s="4">
        <v>0.05</v>
      </c>
      <c r="P3" s="3">
        <v>8700</v>
      </c>
      <c r="Q3" s="3">
        <v>165300</v>
      </c>
      <c r="R3" s="3">
        <v>60800</v>
      </c>
      <c r="S3" t="s">
        <v>57</v>
      </c>
      <c r="T3" t="s">
        <v>48</v>
      </c>
      <c r="U3" t="s">
        <v>49</v>
      </c>
      <c r="V3" s="5">
        <v>0.36781609195402298</v>
      </c>
      <c r="X3" s="3">
        <f>SUM(R2:R501)</f>
        <v>102667126</v>
      </c>
    </row>
    <row r="4" spans="1:24" x14ac:dyDescent="0.35">
      <c r="A4" t="s">
        <v>58</v>
      </c>
      <c r="B4" s="2">
        <v>45663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>
        <v>5</v>
      </c>
      <c r="L4" s="3">
        <v>157000</v>
      </c>
      <c r="M4" s="3">
        <v>558000</v>
      </c>
      <c r="N4" s="3">
        <v>785000</v>
      </c>
      <c r="O4" s="4">
        <v>0</v>
      </c>
      <c r="P4" s="3">
        <v>0</v>
      </c>
      <c r="Q4" s="3">
        <v>785000</v>
      </c>
      <c r="R4" s="3">
        <v>227000</v>
      </c>
      <c r="S4" t="s">
        <v>67</v>
      </c>
      <c r="T4" t="s">
        <v>48</v>
      </c>
      <c r="U4" t="s">
        <v>68</v>
      </c>
      <c r="V4" s="5">
        <v>0.28917197452229298</v>
      </c>
      <c r="X4" s="6">
        <f>X3/X2</f>
        <v>0.22900103952474979</v>
      </c>
    </row>
    <row r="5" spans="1:24" x14ac:dyDescent="0.35">
      <c r="A5" t="s">
        <v>69</v>
      </c>
      <c r="B5" s="2">
        <v>45664</v>
      </c>
      <c r="C5" t="s">
        <v>70</v>
      </c>
      <c r="D5" t="s">
        <v>71</v>
      </c>
      <c r="E5" t="s">
        <v>61</v>
      </c>
      <c r="F5" t="s">
        <v>72</v>
      </c>
      <c r="G5" t="s">
        <v>73</v>
      </c>
      <c r="H5" t="s">
        <v>74</v>
      </c>
      <c r="I5" t="s">
        <v>75</v>
      </c>
      <c r="J5" t="s">
        <v>56</v>
      </c>
      <c r="K5">
        <v>7</v>
      </c>
      <c r="L5" s="3">
        <v>61300</v>
      </c>
      <c r="M5" s="3">
        <v>300300</v>
      </c>
      <c r="N5" s="3">
        <v>429100</v>
      </c>
      <c r="O5" s="4">
        <v>0.05</v>
      </c>
      <c r="P5" s="3">
        <v>21455</v>
      </c>
      <c r="Q5" s="3">
        <v>407645</v>
      </c>
      <c r="R5" s="3">
        <v>107345</v>
      </c>
      <c r="S5" t="s">
        <v>76</v>
      </c>
      <c r="T5" t="s">
        <v>77</v>
      </c>
      <c r="U5" t="s">
        <v>49</v>
      </c>
      <c r="V5" s="5">
        <v>0.26332961277582212</v>
      </c>
    </row>
    <row r="6" spans="1:24" x14ac:dyDescent="0.35">
      <c r="A6" t="s">
        <v>78</v>
      </c>
      <c r="B6" s="2">
        <v>45664</v>
      </c>
      <c r="C6" t="s">
        <v>79</v>
      </c>
      <c r="D6" t="s">
        <v>80</v>
      </c>
      <c r="E6" t="s">
        <v>41</v>
      </c>
      <c r="F6" t="s">
        <v>81</v>
      </c>
      <c r="G6" t="s">
        <v>82</v>
      </c>
      <c r="H6" t="s">
        <v>64</v>
      </c>
      <c r="I6" t="s">
        <v>83</v>
      </c>
      <c r="J6" t="s">
        <v>56</v>
      </c>
      <c r="K6">
        <v>8</v>
      </c>
      <c r="L6" s="3">
        <v>48500</v>
      </c>
      <c r="M6" s="3">
        <v>224000</v>
      </c>
      <c r="N6" s="3">
        <v>388000</v>
      </c>
      <c r="O6" s="4">
        <v>0</v>
      </c>
      <c r="P6" s="3">
        <v>0</v>
      </c>
      <c r="Q6" s="3">
        <v>388000</v>
      </c>
      <c r="R6" s="3">
        <v>164000</v>
      </c>
      <c r="S6" t="s">
        <v>47</v>
      </c>
      <c r="T6" t="s">
        <v>77</v>
      </c>
      <c r="U6" t="s">
        <v>49</v>
      </c>
      <c r="V6" s="5">
        <v>0.42268041237113402</v>
      </c>
    </row>
    <row r="7" spans="1:24" x14ac:dyDescent="0.35">
      <c r="A7" t="s">
        <v>84</v>
      </c>
      <c r="B7" s="2">
        <v>45664</v>
      </c>
      <c r="C7" t="s">
        <v>85</v>
      </c>
      <c r="D7" t="s">
        <v>86</v>
      </c>
      <c r="E7" t="s">
        <v>61</v>
      </c>
      <c r="F7" t="s">
        <v>72</v>
      </c>
      <c r="G7" t="s">
        <v>73</v>
      </c>
      <c r="H7" t="s">
        <v>74</v>
      </c>
      <c r="I7" t="s">
        <v>65</v>
      </c>
      <c r="J7" t="s">
        <v>66</v>
      </c>
      <c r="K7">
        <v>4</v>
      </c>
      <c r="L7" s="3">
        <v>162600</v>
      </c>
      <c r="M7" s="3">
        <v>447600</v>
      </c>
      <c r="N7" s="3">
        <v>650400</v>
      </c>
      <c r="O7" s="4">
        <v>0.02</v>
      </c>
      <c r="P7" s="3">
        <v>13008</v>
      </c>
      <c r="Q7" s="3">
        <v>637392</v>
      </c>
      <c r="R7" s="3">
        <v>189792</v>
      </c>
      <c r="S7" t="s">
        <v>57</v>
      </c>
      <c r="T7" t="s">
        <v>48</v>
      </c>
      <c r="U7" t="s">
        <v>68</v>
      </c>
      <c r="V7" s="5">
        <v>0.2977633857971233</v>
      </c>
    </row>
    <row r="8" spans="1:24" x14ac:dyDescent="0.35">
      <c r="A8" t="s">
        <v>87</v>
      </c>
      <c r="B8" s="2">
        <v>45664</v>
      </c>
      <c r="C8" t="s">
        <v>88</v>
      </c>
      <c r="D8" t="s">
        <v>89</v>
      </c>
      <c r="E8" t="s">
        <v>61</v>
      </c>
      <c r="F8" t="s">
        <v>72</v>
      </c>
      <c r="G8" t="s">
        <v>73</v>
      </c>
      <c r="H8" t="s">
        <v>74</v>
      </c>
      <c r="I8" t="s">
        <v>90</v>
      </c>
      <c r="J8" t="s">
        <v>91</v>
      </c>
      <c r="K8">
        <v>6</v>
      </c>
      <c r="L8" s="3">
        <v>169300</v>
      </c>
      <c r="M8" s="3">
        <v>738000</v>
      </c>
      <c r="N8" s="3">
        <v>1015800</v>
      </c>
      <c r="O8" s="4">
        <v>0.05</v>
      </c>
      <c r="P8" s="3">
        <v>50790</v>
      </c>
      <c r="Q8" s="3">
        <v>965010</v>
      </c>
      <c r="R8" s="3">
        <v>227010</v>
      </c>
      <c r="S8" t="s">
        <v>76</v>
      </c>
      <c r="T8" t="s">
        <v>48</v>
      </c>
      <c r="U8" t="s">
        <v>49</v>
      </c>
      <c r="V8" s="5">
        <v>0.23524108558460541</v>
      </c>
    </row>
    <row r="9" spans="1:24" x14ac:dyDescent="0.35">
      <c r="A9" t="s">
        <v>92</v>
      </c>
      <c r="B9" s="2">
        <v>45665</v>
      </c>
      <c r="C9" t="s">
        <v>93</v>
      </c>
      <c r="D9" t="s">
        <v>94</v>
      </c>
      <c r="E9" t="s">
        <v>61</v>
      </c>
      <c r="F9" t="s">
        <v>53</v>
      </c>
      <c r="G9" t="s">
        <v>54</v>
      </c>
      <c r="H9" t="s">
        <v>44</v>
      </c>
      <c r="I9" t="s">
        <v>55</v>
      </c>
      <c r="J9" t="s">
        <v>56</v>
      </c>
      <c r="K9">
        <v>3</v>
      </c>
      <c r="L9" s="3">
        <v>35100</v>
      </c>
      <c r="M9" s="3">
        <v>65400</v>
      </c>
      <c r="N9" s="3">
        <v>105300</v>
      </c>
      <c r="O9" s="4">
        <v>0.05</v>
      </c>
      <c r="P9" s="3">
        <v>5265</v>
      </c>
      <c r="Q9" s="3">
        <v>100035</v>
      </c>
      <c r="R9" s="3">
        <v>34635</v>
      </c>
      <c r="S9" t="s">
        <v>67</v>
      </c>
      <c r="T9" t="s">
        <v>77</v>
      </c>
      <c r="U9" t="s">
        <v>49</v>
      </c>
      <c r="V9" s="5">
        <v>0.34622881991303051</v>
      </c>
    </row>
    <row r="10" spans="1:24" x14ac:dyDescent="0.35">
      <c r="A10" t="s">
        <v>95</v>
      </c>
      <c r="B10" s="2">
        <v>45665</v>
      </c>
      <c r="C10" t="s">
        <v>96</v>
      </c>
      <c r="D10" t="s">
        <v>97</v>
      </c>
      <c r="E10" t="s">
        <v>61</v>
      </c>
      <c r="F10" t="s">
        <v>98</v>
      </c>
      <c r="G10" t="s">
        <v>98</v>
      </c>
      <c r="H10" t="s">
        <v>99</v>
      </c>
      <c r="I10" t="s">
        <v>90</v>
      </c>
      <c r="J10" t="s">
        <v>91</v>
      </c>
      <c r="K10">
        <v>5</v>
      </c>
      <c r="L10" s="3">
        <v>184800</v>
      </c>
      <c r="M10" s="3">
        <v>631000</v>
      </c>
      <c r="N10" s="3">
        <v>924000</v>
      </c>
      <c r="O10" s="4">
        <v>0.05</v>
      </c>
      <c r="P10" s="3">
        <v>46200</v>
      </c>
      <c r="Q10" s="3">
        <v>877800</v>
      </c>
      <c r="R10" s="3">
        <v>246800</v>
      </c>
      <c r="S10" t="s">
        <v>76</v>
      </c>
      <c r="T10" t="s">
        <v>48</v>
      </c>
      <c r="U10" t="s">
        <v>49</v>
      </c>
      <c r="V10" s="5">
        <v>0.28115743905217588</v>
      </c>
    </row>
    <row r="11" spans="1:24" x14ac:dyDescent="0.35">
      <c r="A11" t="s">
        <v>100</v>
      </c>
      <c r="B11" s="2">
        <v>45666</v>
      </c>
      <c r="C11" t="s">
        <v>101</v>
      </c>
      <c r="D11" t="s">
        <v>102</v>
      </c>
      <c r="E11" t="s">
        <v>61</v>
      </c>
      <c r="F11" t="s">
        <v>42</v>
      </c>
      <c r="G11" t="s">
        <v>43</v>
      </c>
      <c r="H11" t="s">
        <v>44</v>
      </c>
      <c r="I11" t="s">
        <v>103</v>
      </c>
      <c r="J11" t="s">
        <v>46</v>
      </c>
      <c r="K11">
        <v>3</v>
      </c>
      <c r="L11" s="3">
        <v>683900</v>
      </c>
      <c r="M11" s="3">
        <v>1597500</v>
      </c>
      <c r="N11" s="3">
        <v>2051700</v>
      </c>
      <c r="O11" s="4">
        <v>0.05</v>
      </c>
      <c r="P11" s="3">
        <v>102585</v>
      </c>
      <c r="Q11" s="3">
        <v>1949115</v>
      </c>
      <c r="R11" s="3">
        <v>351615</v>
      </c>
      <c r="S11" t="s">
        <v>67</v>
      </c>
      <c r="T11" t="s">
        <v>77</v>
      </c>
      <c r="U11" t="s">
        <v>49</v>
      </c>
      <c r="V11" s="5">
        <v>0.1803972572167368</v>
      </c>
    </row>
    <row r="12" spans="1:24" x14ac:dyDescent="0.35">
      <c r="A12" t="s">
        <v>104</v>
      </c>
      <c r="B12" s="2">
        <v>45666</v>
      </c>
      <c r="C12" t="s">
        <v>105</v>
      </c>
      <c r="D12" t="s">
        <v>106</v>
      </c>
      <c r="E12" t="s">
        <v>41</v>
      </c>
      <c r="F12" t="s">
        <v>98</v>
      </c>
      <c r="G12" t="s">
        <v>98</v>
      </c>
      <c r="H12" t="s">
        <v>99</v>
      </c>
      <c r="I12" t="s">
        <v>83</v>
      </c>
      <c r="J12" t="s">
        <v>56</v>
      </c>
      <c r="K12">
        <v>2</v>
      </c>
      <c r="L12" s="3">
        <v>48100</v>
      </c>
      <c r="M12" s="3">
        <v>55800</v>
      </c>
      <c r="N12" s="3">
        <v>96200</v>
      </c>
      <c r="O12" s="4">
        <v>0</v>
      </c>
      <c r="P12" s="3">
        <v>0</v>
      </c>
      <c r="Q12" s="3">
        <v>96200</v>
      </c>
      <c r="R12" s="3">
        <v>40400</v>
      </c>
      <c r="S12" t="s">
        <v>57</v>
      </c>
      <c r="T12" t="s">
        <v>107</v>
      </c>
      <c r="U12" t="s">
        <v>49</v>
      </c>
      <c r="V12" s="5">
        <v>0.41995841995841998</v>
      </c>
    </row>
    <row r="13" spans="1:24" x14ac:dyDescent="0.35">
      <c r="A13" t="s">
        <v>108</v>
      </c>
      <c r="B13" s="2">
        <v>45668</v>
      </c>
      <c r="C13" t="s">
        <v>109</v>
      </c>
      <c r="D13" t="s">
        <v>110</v>
      </c>
      <c r="E13" t="s">
        <v>41</v>
      </c>
      <c r="F13" t="s">
        <v>111</v>
      </c>
      <c r="G13" t="s">
        <v>112</v>
      </c>
      <c r="H13" t="s">
        <v>74</v>
      </c>
      <c r="I13" t="s">
        <v>113</v>
      </c>
      <c r="J13" t="s">
        <v>66</v>
      </c>
      <c r="K13">
        <v>4</v>
      </c>
      <c r="L13" s="3">
        <v>214800</v>
      </c>
      <c r="M13" s="3">
        <v>609600</v>
      </c>
      <c r="N13" s="3">
        <v>859200</v>
      </c>
      <c r="O13" s="4">
        <v>0.08</v>
      </c>
      <c r="P13" s="3">
        <v>68736</v>
      </c>
      <c r="Q13" s="3">
        <v>790464</v>
      </c>
      <c r="R13" s="3">
        <v>180864</v>
      </c>
      <c r="S13" t="s">
        <v>67</v>
      </c>
      <c r="T13" t="s">
        <v>77</v>
      </c>
      <c r="U13" t="s">
        <v>49</v>
      </c>
      <c r="V13" s="5">
        <v>0.22880738401748851</v>
      </c>
    </row>
    <row r="14" spans="1:24" x14ac:dyDescent="0.35">
      <c r="A14" t="s">
        <v>114</v>
      </c>
      <c r="B14" s="2">
        <v>45669</v>
      </c>
      <c r="C14" t="s">
        <v>115</v>
      </c>
      <c r="D14" t="s">
        <v>116</v>
      </c>
      <c r="E14" t="s">
        <v>41</v>
      </c>
      <c r="F14" t="s">
        <v>111</v>
      </c>
      <c r="G14" t="s">
        <v>112</v>
      </c>
      <c r="H14" t="s">
        <v>74</v>
      </c>
      <c r="I14" t="s">
        <v>83</v>
      </c>
      <c r="J14" t="s">
        <v>56</v>
      </c>
      <c r="K14">
        <v>3</v>
      </c>
      <c r="L14" s="3">
        <v>42000</v>
      </c>
      <c r="M14" s="3">
        <v>80700</v>
      </c>
      <c r="N14" s="3">
        <v>126000</v>
      </c>
      <c r="O14" s="4">
        <v>0.1</v>
      </c>
      <c r="P14" s="3">
        <v>12600</v>
      </c>
      <c r="Q14" s="3">
        <v>113400</v>
      </c>
      <c r="R14" s="3">
        <v>32700</v>
      </c>
      <c r="S14" t="s">
        <v>57</v>
      </c>
      <c r="T14" t="s">
        <v>77</v>
      </c>
      <c r="U14" t="s">
        <v>49</v>
      </c>
      <c r="V14" s="5">
        <v>0.28835978835978843</v>
      </c>
    </row>
    <row r="15" spans="1:24" x14ac:dyDescent="0.35">
      <c r="A15" t="s">
        <v>117</v>
      </c>
      <c r="B15" s="2">
        <v>45669</v>
      </c>
      <c r="C15" t="s">
        <v>118</v>
      </c>
      <c r="D15" t="s">
        <v>119</v>
      </c>
      <c r="E15" t="s">
        <v>41</v>
      </c>
      <c r="F15" t="s">
        <v>42</v>
      </c>
      <c r="G15" t="s">
        <v>43</v>
      </c>
      <c r="H15" t="s">
        <v>44</v>
      </c>
      <c r="I15" t="s">
        <v>120</v>
      </c>
      <c r="J15" t="s">
        <v>56</v>
      </c>
      <c r="K15">
        <v>6</v>
      </c>
      <c r="L15" s="3">
        <v>84400</v>
      </c>
      <c r="M15" s="3">
        <v>315600</v>
      </c>
      <c r="N15" s="3">
        <v>506400</v>
      </c>
      <c r="O15" s="4">
        <v>0.02</v>
      </c>
      <c r="P15" s="3">
        <v>10128</v>
      </c>
      <c r="Q15" s="3">
        <v>496272</v>
      </c>
      <c r="R15" s="3">
        <v>180672</v>
      </c>
      <c r="S15" t="s">
        <v>121</v>
      </c>
      <c r="T15" t="s">
        <v>48</v>
      </c>
      <c r="U15" t="s">
        <v>49</v>
      </c>
      <c r="V15" s="5">
        <v>0.36405841957636143</v>
      </c>
    </row>
    <row r="16" spans="1:24" x14ac:dyDescent="0.35">
      <c r="A16" t="s">
        <v>122</v>
      </c>
      <c r="B16" s="2">
        <v>45669</v>
      </c>
      <c r="C16" t="s">
        <v>123</v>
      </c>
      <c r="D16" t="s">
        <v>124</v>
      </c>
      <c r="E16" t="s">
        <v>41</v>
      </c>
      <c r="F16" t="s">
        <v>125</v>
      </c>
      <c r="G16" t="s">
        <v>126</v>
      </c>
      <c r="H16" t="s">
        <v>64</v>
      </c>
      <c r="I16" t="s">
        <v>45</v>
      </c>
      <c r="J16" t="s">
        <v>46</v>
      </c>
      <c r="K16">
        <v>2</v>
      </c>
      <c r="L16" s="3">
        <v>391000</v>
      </c>
      <c r="M16" s="3">
        <v>644600</v>
      </c>
      <c r="N16" s="3">
        <v>782000</v>
      </c>
      <c r="O16" s="4">
        <v>0</v>
      </c>
      <c r="P16" s="3">
        <v>0</v>
      </c>
      <c r="Q16" s="3">
        <v>0</v>
      </c>
      <c r="R16" s="3">
        <v>0</v>
      </c>
      <c r="S16" t="s">
        <v>67</v>
      </c>
      <c r="T16" t="s">
        <v>107</v>
      </c>
      <c r="U16" t="s">
        <v>127</v>
      </c>
      <c r="V16" s="5">
        <v>0</v>
      </c>
    </row>
    <row r="17" spans="1:22" x14ac:dyDescent="0.35">
      <c r="A17" t="s">
        <v>128</v>
      </c>
      <c r="B17" s="2">
        <v>45669</v>
      </c>
      <c r="C17" t="s">
        <v>129</v>
      </c>
      <c r="D17" t="s">
        <v>130</v>
      </c>
      <c r="E17" t="s">
        <v>41</v>
      </c>
      <c r="F17" t="s">
        <v>53</v>
      </c>
      <c r="G17" t="s">
        <v>54</v>
      </c>
      <c r="H17" t="s">
        <v>44</v>
      </c>
      <c r="I17" t="s">
        <v>131</v>
      </c>
      <c r="J17" t="s">
        <v>91</v>
      </c>
      <c r="K17">
        <v>5</v>
      </c>
      <c r="L17" s="3">
        <v>118900</v>
      </c>
      <c r="M17" s="3">
        <v>393500</v>
      </c>
      <c r="N17" s="3">
        <v>594500</v>
      </c>
      <c r="O17" s="4">
        <v>0</v>
      </c>
      <c r="P17" s="3">
        <v>0</v>
      </c>
      <c r="Q17" s="3">
        <v>594500</v>
      </c>
      <c r="R17" s="3">
        <v>201000</v>
      </c>
      <c r="S17" t="s">
        <v>67</v>
      </c>
      <c r="T17" t="s">
        <v>48</v>
      </c>
      <c r="U17" t="s">
        <v>68</v>
      </c>
      <c r="V17" s="5">
        <v>0.3380992430613961</v>
      </c>
    </row>
    <row r="18" spans="1:22" x14ac:dyDescent="0.35">
      <c r="A18" t="s">
        <v>132</v>
      </c>
      <c r="B18" s="2">
        <v>45669</v>
      </c>
      <c r="C18" t="s">
        <v>133</v>
      </c>
      <c r="D18" t="s">
        <v>134</v>
      </c>
      <c r="E18" t="s">
        <v>61</v>
      </c>
      <c r="F18" t="s">
        <v>81</v>
      </c>
      <c r="G18" t="s">
        <v>82</v>
      </c>
      <c r="H18" t="s">
        <v>64</v>
      </c>
      <c r="I18" t="s">
        <v>113</v>
      </c>
      <c r="J18" t="s">
        <v>66</v>
      </c>
      <c r="K18">
        <v>3</v>
      </c>
      <c r="L18" s="3">
        <v>214300</v>
      </c>
      <c r="M18" s="3">
        <v>441000</v>
      </c>
      <c r="N18" s="3">
        <v>642900</v>
      </c>
      <c r="O18" s="4">
        <v>0</v>
      </c>
      <c r="P18" s="3">
        <v>0</v>
      </c>
      <c r="Q18" s="3">
        <v>642900</v>
      </c>
      <c r="R18" s="3">
        <v>201900</v>
      </c>
      <c r="S18" t="s">
        <v>121</v>
      </c>
      <c r="T18" t="s">
        <v>48</v>
      </c>
      <c r="U18" t="s">
        <v>49</v>
      </c>
      <c r="V18" s="5">
        <v>0.31404573028464772</v>
      </c>
    </row>
    <row r="19" spans="1:22" x14ac:dyDescent="0.35">
      <c r="A19" t="s">
        <v>135</v>
      </c>
      <c r="B19" s="2">
        <v>45669</v>
      </c>
      <c r="C19" t="s">
        <v>136</v>
      </c>
      <c r="D19" t="s">
        <v>137</v>
      </c>
      <c r="E19" t="s">
        <v>41</v>
      </c>
      <c r="F19" t="s">
        <v>72</v>
      </c>
      <c r="G19" t="s">
        <v>73</v>
      </c>
      <c r="H19" t="s">
        <v>74</v>
      </c>
      <c r="I19" t="s">
        <v>83</v>
      </c>
      <c r="J19" t="s">
        <v>56</v>
      </c>
      <c r="K19">
        <v>7</v>
      </c>
      <c r="L19" s="3">
        <v>48600</v>
      </c>
      <c r="M19" s="3">
        <v>188300</v>
      </c>
      <c r="N19" s="3">
        <v>340200</v>
      </c>
      <c r="O19" s="4">
        <v>0.08</v>
      </c>
      <c r="P19" s="3">
        <v>27216</v>
      </c>
      <c r="Q19" s="3">
        <v>312984</v>
      </c>
      <c r="R19" s="3">
        <v>124684</v>
      </c>
      <c r="S19" t="s">
        <v>47</v>
      </c>
      <c r="T19" t="s">
        <v>48</v>
      </c>
      <c r="U19" t="s">
        <v>49</v>
      </c>
      <c r="V19" s="5">
        <v>0.39837180175344428</v>
      </c>
    </row>
    <row r="20" spans="1:22" x14ac:dyDescent="0.35">
      <c r="A20" t="s">
        <v>138</v>
      </c>
      <c r="B20" s="2">
        <v>45669</v>
      </c>
      <c r="C20" t="s">
        <v>101</v>
      </c>
      <c r="D20" t="s">
        <v>139</v>
      </c>
      <c r="E20" t="s">
        <v>61</v>
      </c>
      <c r="F20" t="s">
        <v>53</v>
      </c>
      <c r="G20" t="s">
        <v>54</v>
      </c>
      <c r="H20" t="s">
        <v>44</v>
      </c>
      <c r="I20" t="s">
        <v>140</v>
      </c>
      <c r="J20" t="s">
        <v>46</v>
      </c>
      <c r="K20">
        <v>5</v>
      </c>
      <c r="L20" s="3">
        <v>294200</v>
      </c>
      <c r="M20" s="3">
        <v>1070500</v>
      </c>
      <c r="N20" s="3">
        <v>1471000</v>
      </c>
      <c r="O20" s="4">
        <v>0.02</v>
      </c>
      <c r="P20" s="3">
        <v>29420</v>
      </c>
      <c r="Q20" s="3">
        <v>1441580</v>
      </c>
      <c r="R20" s="3">
        <v>371080</v>
      </c>
      <c r="S20" t="s">
        <v>67</v>
      </c>
      <c r="T20" t="s">
        <v>107</v>
      </c>
      <c r="U20" t="s">
        <v>49</v>
      </c>
      <c r="V20" s="5">
        <v>0.25741200627089722</v>
      </c>
    </row>
    <row r="21" spans="1:22" x14ac:dyDescent="0.35">
      <c r="A21" t="s">
        <v>141</v>
      </c>
      <c r="B21" s="2">
        <v>45670</v>
      </c>
      <c r="C21" t="s">
        <v>142</v>
      </c>
      <c r="D21" t="s">
        <v>143</v>
      </c>
      <c r="E21" t="s">
        <v>61</v>
      </c>
      <c r="F21" t="s">
        <v>73</v>
      </c>
      <c r="G21" t="s">
        <v>73</v>
      </c>
      <c r="H21" t="s">
        <v>74</v>
      </c>
      <c r="I21" t="s">
        <v>120</v>
      </c>
      <c r="J21" t="s">
        <v>56</v>
      </c>
      <c r="K21">
        <v>6</v>
      </c>
      <c r="L21" s="3">
        <v>82800</v>
      </c>
      <c r="M21" s="3">
        <v>303000</v>
      </c>
      <c r="N21" s="3">
        <v>496800</v>
      </c>
      <c r="O21" s="4">
        <v>0</v>
      </c>
      <c r="P21" s="3">
        <v>0</v>
      </c>
      <c r="Q21" s="3">
        <v>0</v>
      </c>
      <c r="R21" s="3">
        <v>0</v>
      </c>
      <c r="S21" t="s">
        <v>121</v>
      </c>
      <c r="T21" t="s">
        <v>77</v>
      </c>
      <c r="U21" t="s">
        <v>127</v>
      </c>
      <c r="V21" s="5">
        <v>0</v>
      </c>
    </row>
    <row r="22" spans="1:22" x14ac:dyDescent="0.35">
      <c r="A22" t="s">
        <v>144</v>
      </c>
      <c r="B22" s="2">
        <v>45670</v>
      </c>
      <c r="C22" t="s">
        <v>145</v>
      </c>
      <c r="D22" t="s">
        <v>146</v>
      </c>
      <c r="E22" t="s">
        <v>41</v>
      </c>
      <c r="F22" t="s">
        <v>111</v>
      </c>
      <c r="G22" t="s">
        <v>112</v>
      </c>
      <c r="H22" t="s">
        <v>74</v>
      </c>
      <c r="I22" t="s">
        <v>113</v>
      </c>
      <c r="J22" t="s">
        <v>66</v>
      </c>
      <c r="K22">
        <v>7</v>
      </c>
      <c r="L22" s="3">
        <v>196900</v>
      </c>
      <c r="M22" s="3">
        <v>1061200</v>
      </c>
      <c r="N22" s="3">
        <v>1378300</v>
      </c>
      <c r="O22" s="4">
        <v>0.05</v>
      </c>
      <c r="P22" s="3">
        <v>68915</v>
      </c>
      <c r="Q22" s="3">
        <v>1309385</v>
      </c>
      <c r="R22" s="3">
        <v>248185</v>
      </c>
      <c r="S22" t="s">
        <v>121</v>
      </c>
      <c r="T22" t="s">
        <v>48</v>
      </c>
      <c r="U22" t="s">
        <v>49</v>
      </c>
      <c r="V22" s="5">
        <v>0.18954318248643451</v>
      </c>
    </row>
    <row r="23" spans="1:22" x14ac:dyDescent="0.35">
      <c r="A23" t="s">
        <v>147</v>
      </c>
      <c r="B23" s="2">
        <v>45671</v>
      </c>
      <c r="C23" t="s">
        <v>148</v>
      </c>
      <c r="D23" t="s">
        <v>149</v>
      </c>
      <c r="E23" t="s">
        <v>41</v>
      </c>
      <c r="F23" t="s">
        <v>125</v>
      </c>
      <c r="G23" t="s">
        <v>126</v>
      </c>
      <c r="H23" t="s">
        <v>64</v>
      </c>
      <c r="I23" t="s">
        <v>55</v>
      </c>
      <c r="J23" t="s">
        <v>56</v>
      </c>
      <c r="K23">
        <v>4</v>
      </c>
      <c r="L23" s="3">
        <v>35300</v>
      </c>
      <c r="M23" s="3">
        <v>87200</v>
      </c>
      <c r="N23" s="3">
        <v>141200</v>
      </c>
      <c r="O23" s="4">
        <v>0.02</v>
      </c>
      <c r="P23" s="3">
        <v>2824</v>
      </c>
      <c r="Q23" s="3">
        <v>138376</v>
      </c>
      <c r="R23" s="3">
        <v>51176</v>
      </c>
      <c r="S23" t="s">
        <v>47</v>
      </c>
      <c r="T23" t="s">
        <v>48</v>
      </c>
      <c r="U23" t="s">
        <v>49</v>
      </c>
      <c r="V23" s="5">
        <v>0.36983291900329529</v>
      </c>
    </row>
    <row r="24" spans="1:22" x14ac:dyDescent="0.35">
      <c r="A24" t="s">
        <v>150</v>
      </c>
      <c r="B24" s="2">
        <v>45671</v>
      </c>
      <c r="C24" t="s">
        <v>151</v>
      </c>
      <c r="D24" t="s">
        <v>152</v>
      </c>
      <c r="E24" t="s">
        <v>61</v>
      </c>
      <c r="F24" t="s">
        <v>111</v>
      </c>
      <c r="G24" t="s">
        <v>112</v>
      </c>
      <c r="H24" t="s">
        <v>74</v>
      </c>
      <c r="I24" t="s">
        <v>65</v>
      </c>
      <c r="J24" t="s">
        <v>66</v>
      </c>
      <c r="K24">
        <v>6</v>
      </c>
      <c r="L24" s="3">
        <v>169700</v>
      </c>
      <c r="M24" s="3">
        <v>691800</v>
      </c>
      <c r="N24" s="3">
        <v>1018200</v>
      </c>
      <c r="O24" s="4">
        <v>0.05</v>
      </c>
      <c r="P24" s="3">
        <v>50910</v>
      </c>
      <c r="Q24" s="3">
        <v>967290</v>
      </c>
      <c r="R24" s="3">
        <v>275490</v>
      </c>
      <c r="S24" t="s">
        <v>121</v>
      </c>
      <c r="T24" t="s">
        <v>48</v>
      </c>
      <c r="U24" t="s">
        <v>49</v>
      </c>
      <c r="V24" s="5">
        <v>0.28480600440405668</v>
      </c>
    </row>
    <row r="25" spans="1:22" x14ac:dyDescent="0.35">
      <c r="A25" t="s">
        <v>153</v>
      </c>
      <c r="B25" s="2">
        <v>45672</v>
      </c>
      <c r="C25" t="s">
        <v>154</v>
      </c>
      <c r="D25" t="s">
        <v>155</v>
      </c>
      <c r="E25" t="s">
        <v>41</v>
      </c>
      <c r="F25" t="s">
        <v>81</v>
      </c>
      <c r="G25" t="s">
        <v>82</v>
      </c>
      <c r="H25" t="s">
        <v>64</v>
      </c>
      <c r="I25" t="s">
        <v>156</v>
      </c>
      <c r="J25" t="s">
        <v>91</v>
      </c>
      <c r="K25">
        <v>6</v>
      </c>
      <c r="L25" s="3">
        <v>249600</v>
      </c>
      <c r="M25" s="3">
        <v>952800</v>
      </c>
      <c r="N25" s="3">
        <v>1497600</v>
      </c>
      <c r="O25" s="4">
        <v>0.08</v>
      </c>
      <c r="P25" s="3">
        <v>119808</v>
      </c>
      <c r="Q25" s="3">
        <v>1377792</v>
      </c>
      <c r="R25" s="3">
        <v>424992</v>
      </c>
      <c r="S25" t="s">
        <v>76</v>
      </c>
      <c r="T25" t="s">
        <v>48</v>
      </c>
      <c r="U25" t="s">
        <v>49</v>
      </c>
      <c r="V25" s="5">
        <v>0.30845875139353401</v>
      </c>
    </row>
    <row r="26" spans="1:22" x14ac:dyDescent="0.35">
      <c r="A26" t="s">
        <v>157</v>
      </c>
      <c r="B26" s="2">
        <v>45673</v>
      </c>
      <c r="C26" t="s">
        <v>158</v>
      </c>
      <c r="D26" t="s">
        <v>97</v>
      </c>
      <c r="E26" t="s">
        <v>41</v>
      </c>
      <c r="F26" t="s">
        <v>125</v>
      </c>
      <c r="G26" t="s">
        <v>126</v>
      </c>
      <c r="H26" t="s">
        <v>64</v>
      </c>
      <c r="I26" t="s">
        <v>103</v>
      </c>
      <c r="J26" t="s">
        <v>46</v>
      </c>
      <c r="K26">
        <v>1</v>
      </c>
      <c r="L26" s="3">
        <v>678400</v>
      </c>
      <c r="M26" s="3">
        <v>520700</v>
      </c>
      <c r="N26" s="3">
        <v>678400</v>
      </c>
      <c r="O26" s="4">
        <v>0</v>
      </c>
      <c r="P26" s="3">
        <v>0</v>
      </c>
      <c r="Q26" s="3">
        <v>678400</v>
      </c>
      <c r="R26" s="3">
        <v>157700</v>
      </c>
      <c r="S26" t="s">
        <v>57</v>
      </c>
      <c r="T26" t="s">
        <v>77</v>
      </c>
      <c r="U26" t="s">
        <v>49</v>
      </c>
      <c r="V26" s="5">
        <v>0.23245872641509441</v>
      </c>
    </row>
    <row r="27" spans="1:22" x14ac:dyDescent="0.35">
      <c r="A27" t="s">
        <v>159</v>
      </c>
      <c r="B27" s="2">
        <v>45673</v>
      </c>
      <c r="C27" t="s">
        <v>160</v>
      </c>
      <c r="D27" t="s">
        <v>161</v>
      </c>
      <c r="E27" t="s">
        <v>61</v>
      </c>
      <c r="F27" t="s">
        <v>42</v>
      </c>
      <c r="G27" t="s">
        <v>43</v>
      </c>
      <c r="H27" t="s">
        <v>44</v>
      </c>
      <c r="I27" t="s">
        <v>140</v>
      </c>
      <c r="J27" t="s">
        <v>46</v>
      </c>
      <c r="K27">
        <v>4</v>
      </c>
      <c r="L27" s="3">
        <v>278900</v>
      </c>
      <c r="M27" s="3">
        <v>826000</v>
      </c>
      <c r="N27" s="3">
        <v>1115600</v>
      </c>
      <c r="O27" s="4">
        <v>0</v>
      </c>
      <c r="P27" s="3">
        <v>0</v>
      </c>
      <c r="Q27" s="3">
        <v>1115600</v>
      </c>
      <c r="R27" s="3">
        <v>289600</v>
      </c>
      <c r="S27" t="s">
        <v>67</v>
      </c>
      <c r="T27" t="s">
        <v>48</v>
      </c>
      <c r="U27" t="s">
        <v>49</v>
      </c>
      <c r="V27" s="5">
        <v>0.25959125134456801</v>
      </c>
    </row>
    <row r="28" spans="1:22" x14ac:dyDescent="0.35">
      <c r="A28" t="s">
        <v>162</v>
      </c>
      <c r="B28" s="2">
        <v>45674</v>
      </c>
      <c r="C28" t="s">
        <v>163</v>
      </c>
      <c r="D28" t="s">
        <v>164</v>
      </c>
      <c r="E28" t="s">
        <v>61</v>
      </c>
      <c r="F28" t="s">
        <v>98</v>
      </c>
      <c r="G28" t="s">
        <v>98</v>
      </c>
      <c r="H28" t="s">
        <v>99</v>
      </c>
      <c r="I28" t="s">
        <v>103</v>
      </c>
      <c r="J28" t="s">
        <v>46</v>
      </c>
      <c r="K28">
        <v>1</v>
      </c>
      <c r="L28" s="3">
        <v>675600</v>
      </c>
      <c r="M28" s="3">
        <v>526600</v>
      </c>
      <c r="N28" s="3">
        <v>675600</v>
      </c>
      <c r="O28" s="4">
        <v>0.05</v>
      </c>
      <c r="P28" s="3">
        <v>33780</v>
      </c>
      <c r="Q28" s="3">
        <v>641820</v>
      </c>
      <c r="R28" s="3">
        <v>115220</v>
      </c>
      <c r="S28" t="s">
        <v>67</v>
      </c>
      <c r="T28" t="s">
        <v>48</v>
      </c>
      <c r="U28" t="s">
        <v>49</v>
      </c>
      <c r="V28" s="5">
        <v>0.17952073790159229</v>
      </c>
    </row>
    <row r="29" spans="1:22" x14ac:dyDescent="0.35">
      <c r="A29" t="s">
        <v>165</v>
      </c>
      <c r="B29" s="2">
        <v>45674</v>
      </c>
      <c r="C29" t="s">
        <v>166</v>
      </c>
      <c r="D29" t="s">
        <v>167</v>
      </c>
      <c r="E29" t="s">
        <v>41</v>
      </c>
      <c r="F29" t="s">
        <v>168</v>
      </c>
      <c r="G29" t="s">
        <v>169</v>
      </c>
      <c r="H29" t="s">
        <v>74</v>
      </c>
      <c r="I29" t="s">
        <v>90</v>
      </c>
      <c r="J29" t="s">
        <v>91</v>
      </c>
      <c r="K29">
        <v>5</v>
      </c>
      <c r="L29" s="3">
        <v>166500</v>
      </c>
      <c r="M29" s="3">
        <v>603000</v>
      </c>
      <c r="N29" s="3">
        <v>832500</v>
      </c>
      <c r="O29" s="4">
        <v>0</v>
      </c>
      <c r="P29" s="3">
        <v>0</v>
      </c>
      <c r="Q29" s="3">
        <v>832500</v>
      </c>
      <c r="R29" s="3">
        <v>229500</v>
      </c>
      <c r="S29" t="s">
        <v>121</v>
      </c>
      <c r="T29" t="s">
        <v>48</v>
      </c>
      <c r="U29" t="s">
        <v>49</v>
      </c>
      <c r="V29" s="5">
        <v>0.27567567567567569</v>
      </c>
    </row>
    <row r="30" spans="1:22" x14ac:dyDescent="0.35">
      <c r="A30" t="s">
        <v>170</v>
      </c>
      <c r="B30" s="2">
        <v>45678</v>
      </c>
      <c r="C30" t="s">
        <v>151</v>
      </c>
      <c r="D30" t="s">
        <v>171</v>
      </c>
      <c r="E30" t="s">
        <v>41</v>
      </c>
      <c r="F30" t="s">
        <v>111</v>
      </c>
      <c r="G30" t="s">
        <v>112</v>
      </c>
      <c r="H30" t="s">
        <v>74</v>
      </c>
      <c r="I30" t="s">
        <v>45</v>
      </c>
      <c r="J30" t="s">
        <v>46</v>
      </c>
      <c r="K30">
        <v>4</v>
      </c>
      <c r="L30" s="3">
        <v>421000</v>
      </c>
      <c r="M30" s="3">
        <v>1350000</v>
      </c>
      <c r="N30" s="3">
        <v>1684000</v>
      </c>
      <c r="O30" s="4">
        <v>0</v>
      </c>
      <c r="P30" s="3">
        <v>0</v>
      </c>
      <c r="Q30" s="3">
        <v>1684000</v>
      </c>
      <c r="R30" s="3">
        <v>334000</v>
      </c>
      <c r="S30" t="s">
        <v>57</v>
      </c>
      <c r="T30" t="s">
        <v>77</v>
      </c>
      <c r="U30" t="s">
        <v>49</v>
      </c>
      <c r="V30" s="5">
        <v>0.19833729216152021</v>
      </c>
    </row>
    <row r="31" spans="1:22" x14ac:dyDescent="0.35">
      <c r="A31" t="s">
        <v>172</v>
      </c>
      <c r="B31" s="2">
        <v>45678</v>
      </c>
      <c r="C31" t="s">
        <v>173</v>
      </c>
      <c r="D31" t="s">
        <v>174</v>
      </c>
      <c r="E31" t="s">
        <v>41</v>
      </c>
      <c r="F31" t="s">
        <v>168</v>
      </c>
      <c r="G31" t="s">
        <v>169</v>
      </c>
      <c r="H31" t="s">
        <v>74</v>
      </c>
      <c r="I31" t="s">
        <v>65</v>
      </c>
      <c r="J31" t="s">
        <v>66</v>
      </c>
      <c r="K31">
        <v>6</v>
      </c>
      <c r="L31" s="3">
        <v>150600</v>
      </c>
      <c r="M31" s="3">
        <v>691800</v>
      </c>
      <c r="N31" s="3">
        <v>903600</v>
      </c>
      <c r="O31" s="4">
        <v>0.1</v>
      </c>
      <c r="P31" s="3">
        <v>90360</v>
      </c>
      <c r="Q31" s="3">
        <v>813240</v>
      </c>
      <c r="R31" s="3">
        <v>121440</v>
      </c>
      <c r="S31" t="s">
        <v>67</v>
      </c>
      <c r="T31" t="s">
        <v>48</v>
      </c>
      <c r="U31" t="s">
        <v>49</v>
      </c>
      <c r="V31" s="5">
        <v>0.1493286114800059</v>
      </c>
    </row>
    <row r="32" spans="1:22" x14ac:dyDescent="0.35">
      <c r="A32" t="s">
        <v>175</v>
      </c>
      <c r="B32" s="2">
        <v>45681</v>
      </c>
      <c r="C32" t="s">
        <v>176</v>
      </c>
      <c r="D32" t="s">
        <v>177</v>
      </c>
      <c r="E32" t="s">
        <v>41</v>
      </c>
      <c r="F32" t="s">
        <v>62</v>
      </c>
      <c r="G32" t="s">
        <v>63</v>
      </c>
      <c r="H32" t="s">
        <v>64</v>
      </c>
      <c r="I32" t="s">
        <v>140</v>
      </c>
      <c r="J32" t="s">
        <v>46</v>
      </c>
      <c r="K32">
        <v>7</v>
      </c>
      <c r="L32" s="3">
        <v>266700</v>
      </c>
      <c r="M32" s="3">
        <v>1546300</v>
      </c>
      <c r="N32" s="3">
        <v>1866900</v>
      </c>
      <c r="O32" s="4">
        <v>0</v>
      </c>
      <c r="P32" s="3">
        <v>0</v>
      </c>
      <c r="Q32" s="3">
        <v>0</v>
      </c>
      <c r="R32" s="3">
        <v>0</v>
      </c>
      <c r="S32" t="s">
        <v>121</v>
      </c>
      <c r="T32" t="s">
        <v>48</v>
      </c>
      <c r="U32" t="s">
        <v>127</v>
      </c>
      <c r="V32" s="5">
        <v>0</v>
      </c>
    </row>
    <row r="33" spans="1:22" x14ac:dyDescent="0.35">
      <c r="A33" t="s">
        <v>178</v>
      </c>
      <c r="B33" s="2">
        <v>45681</v>
      </c>
      <c r="C33" t="s">
        <v>179</v>
      </c>
      <c r="D33" t="s">
        <v>180</v>
      </c>
      <c r="E33" t="s">
        <v>61</v>
      </c>
      <c r="F33" t="s">
        <v>125</v>
      </c>
      <c r="G33" t="s">
        <v>126</v>
      </c>
      <c r="H33" t="s">
        <v>64</v>
      </c>
      <c r="I33" t="s">
        <v>55</v>
      </c>
      <c r="J33" t="s">
        <v>56</v>
      </c>
      <c r="K33">
        <v>1</v>
      </c>
      <c r="L33" s="3">
        <v>34500</v>
      </c>
      <c r="M33" s="3">
        <v>21500</v>
      </c>
      <c r="N33" s="3">
        <v>34500</v>
      </c>
      <c r="O33" s="4">
        <v>0.05</v>
      </c>
      <c r="P33" s="3">
        <v>1725</v>
      </c>
      <c r="Q33" s="3">
        <v>32775</v>
      </c>
      <c r="R33" s="3">
        <v>11275</v>
      </c>
      <c r="S33" t="s">
        <v>57</v>
      </c>
      <c r="T33" t="s">
        <v>48</v>
      </c>
      <c r="U33" t="s">
        <v>49</v>
      </c>
      <c r="V33" s="5">
        <v>0.34401220442410368</v>
      </c>
    </row>
    <row r="34" spans="1:22" x14ac:dyDescent="0.35">
      <c r="A34" t="s">
        <v>181</v>
      </c>
      <c r="B34" s="2">
        <v>45681</v>
      </c>
      <c r="C34" t="s">
        <v>182</v>
      </c>
      <c r="D34" t="s">
        <v>183</v>
      </c>
      <c r="E34" t="s">
        <v>41</v>
      </c>
      <c r="F34" t="s">
        <v>62</v>
      </c>
      <c r="G34" t="s">
        <v>63</v>
      </c>
      <c r="H34" t="s">
        <v>64</v>
      </c>
      <c r="I34" t="s">
        <v>140</v>
      </c>
      <c r="J34" t="s">
        <v>46</v>
      </c>
      <c r="K34">
        <v>3</v>
      </c>
      <c r="L34" s="3">
        <v>276000</v>
      </c>
      <c r="M34" s="3">
        <v>655500</v>
      </c>
      <c r="N34" s="3">
        <v>828000</v>
      </c>
      <c r="O34" s="4">
        <v>0</v>
      </c>
      <c r="P34" s="3">
        <v>0</v>
      </c>
      <c r="Q34" s="3">
        <v>828000</v>
      </c>
      <c r="R34" s="3">
        <v>172500</v>
      </c>
      <c r="S34" t="s">
        <v>67</v>
      </c>
      <c r="T34" t="s">
        <v>48</v>
      </c>
      <c r="U34" t="s">
        <v>49</v>
      </c>
      <c r="V34" s="5">
        <v>0.20833333333333329</v>
      </c>
    </row>
    <row r="35" spans="1:22" x14ac:dyDescent="0.35">
      <c r="A35" t="s">
        <v>184</v>
      </c>
      <c r="B35" s="2">
        <v>45681</v>
      </c>
      <c r="C35" t="s">
        <v>185</v>
      </c>
      <c r="D35" t="s">
        <v>186</v>
      </c>
      <c r="E35" t="s">
        <v>41</v>
      </c>
      <c r="F35" t="s">
        <v>81</v>
      </c>
      <c r="G35" t="s">
        <v>82</v>
      </c>
      <c r="H35" t="s">
        <v>64</v>
      </c>
      <c r="I35" t="s">
        <v>65</v>
      </c>
      <c r="J35" t="s">
        <v>66</v>
      </c>
      <c r="K35">
        <v>3</v>
      </c>
      <c r="L35" s="3">
        <v>152800</v>
      </c>
      <c r="M35" s="3">
        <v>339300</v>
      </c>
      <c r="N35" s="3">
        <v>458400</v>
      </c>
      <c r="O35" s="4">
        <v>0</v>
      </c>
      <c r="P35" s="3">
        <v>0</v>
      </c>
      <c r="Q35" s="3">
        <v>458400</v>
      </c>
      <c r="R35" s="3">
        <v>119100</v>
      </c>
      <c r="S35" t="s">
        <v>47</v>
      </c>
      <c r="T35" t="s">
        <v>77</v>
      </c>
      <c r="U35" t="s">
        <v>49</v>
      </c>
      <c r="V35" s="5">
        <v>0.25981675392670162</v>
      </c>
    </row>
    <row r="36" spans="1:22" x14ac:dyDescent="0.35">
      <c r="A36" t="s">
        <v>187</v>
      </c>
      <c r="B36" s="2">
        <v>45682</v>
      </c>
      <c r="C36" t="s">
        <v>188</v>
      </c>
      <c r="D36" t="s">
        <v>189</v>
      </c>
      <c r="E36" t="s">
        <v>61</v>
      </c>
      <c r="F36" t="s">
        <v>98</v>
      </c>
      <c r="G36" t="s">
        <v>98</v>
      </c>
      <c r="H36" t="s">
        <v>99</v>
      </c>
      <c r="I36" t="s">
        <v>55</v>
      </c>
      <c r="J36" t="s">
        <v>56</v>
      </c>
      <c r="K36">
        <v>2</v>
      </c>
      <c r="L36" s="3">
        <v>36800</v>
      </c>
      <c r="M36" s="3">
        <v>41400</v>
      </c>
      <c r="N36" s="3">
        <v>73600</v>
      </c>
      <c r="O36" s="4">
        <v>0</v>
      </c>
      <c r="P36" s="3">
        <v>0</v>
      </c>
      <c r="Q36" s="3">
        <v>73600</v>
      </c>
      <c r="R36" s="3">
        <v>32200</v>
      </c>
      <c r="S36" t="s">
        <v>121</v>
      </c>
      <c r="T36" t="s">
        <v>77</v>
      </c>
      <c r="U36" t="s">
        <v>49</v>
      </c>
      <c r="V36" s="5">
        <v>0.4375</v>
      </c>
    </row>
    <row r="37" spans="1:22" x14ac:dyDescent="0.35">
      <c r="A37" t="s">
        <v>190</v>
      </c>
      <c r="B37" s="2">
        <v>45683</v>
      </c>
      <c r="C37" t="s">
        <v>191</v>
      </c>
      <c r="D37" t="s">
        <v>192</v>
      </c>
      <c r="E37" t="s">
        <v>41</v>
      </c>
      <c r="F37" t="s">
        <v>62</v>
      </c>
      <c r="G37" t="s">
        <v>63</v>
      </c>
      <c r="H37" t="s">
        <v>64</v>
      </c>
      <c r="I37" t="s">
        <v>83</v>
      </c>
      <c r="J37" t="s">
        <v>56</v>
      </c>
      <c r="K37">
        <v>1</v>
      </c>
      <c r="L37" s="3">
        <v>43200</v>
      </c>
      <c r="M37" s="3">
        <v>27100</v>
      </c>
      <c r="N37" s="3">
        <v>43200</v>
      </c>
      <c r="O37" s="4">
        <v>0.02</v>
      </c>
      <c r="P37" s="3">
        <v>0</v>
      </c>
      <c r="Q37" s="3">
        <v>0</v>
      </c>
      <c r="R37" s="3">
        <v>0</v>
      </c>
      <c r="S37" t="s">
        <v>47</v>
      </c>
      <c r="T37" t="s">
        <v>77</v>
      </c>
      <c r="U37" t="s">
        <v>127</v>
      </c>
      <c r="V37" s="5">
        <v>0</v>
      </c>
    </row>
    <row r="38" spans="1:22" x14ac:dyDescent="0.35">
      <c r="A38" t="s">
        <v>193</v>
      </c>
      <c r="B38" s="2">
        <v>45684</v>
      </c>
      <c r="C38" t="s">
        <v>136</v>
      </c>
      <c r="D38" t="s">
        <v>194</v>
      </c>
      <c r="E38" t="s">
        <v>61</v>
      </c>
      <c r="F38" t="s">
        <v>195</v>
      </c>
      <c r="G38" t="s">
        <v>195</v>
      </c>
      <c r="H38" t="s">
        <v>196</v>
      </c>
      <c r="I38" t="s">
        <v>75</v>
      </c>
      <c r="J38" t="s">
        <v>56</v>
      </c>
      <c r="K38">
        <v>2</v>
      </c>
      <c r="L38" s="3">
        <v>62700</v>
      </c>
      <c r="M38" s="3">
        <v>86000</v>
      </c>
      <c r="N38" s="3">
        <v>125400</v>
      </c>
      <c r="O38" s="4">
        <v>0.08</v>
      </c>
      <c r="P38" s="3">
        <v>10032</v>
      </c>
      <c r="Q38" s="3">
        <v>115368</v>
      </c>
      <c r="R38" s="3">
        <v>29368</v>
      </c>
      <c r="S38" t="s">
        <v>121</v>
      </c>
      <c r="T38" t="s">
        <v>107</v>
      </c>
      <c r="U38" t="s">
        <v>49</v>
      </c>
      <c r="V38" s="5">
        <v>0.25455932320920882</v>
      </c>
    </row>
    <row r="39" spans="1:22" x14ac:dyDescent="0.35">
      <c r="A39" t="s">
        <v>197</v>
      </c>
      <c r="B39" s="2">
        <v>45686</v>
      </c>
      <c r="C39" t="s">
        <v>198</v>
      </c>
      <c r="D39" t="s">
        <v>199</v>
      </c>
      <c r="E39" t="s">
        <v>61</v>
      </c>
      <c r="F39" t="s">
        <v>200</v>
      </c>
      <c r="G39" t="s">
        <v>201</v>
      </c>
      <c r="H39" t="s">
        <v>99</v>
      </c>
      <c r="I39" t="s">
        <v>156</v>
      </c>
      <c r="J39" t="s">
        <v>91</v>
      </c>
      <c r="K39">
        <v>7</v>
      </c>
      <c r="L39" s="3">
        <v>229200</v>
      </c>
      <c r="M39" s="3">
        <v>1168300</v>
      </c>
      <c r="N39" s="3">
        <v>1604400</v>
      </c>
      <c r="O39" s="4">
        <v>0</v>
      </c>
      <c r="P39" s="3">
        <v>0</v>
      </c>
      <c r="Q39" s="3">
        <v>1604400</v>
      </c>
      <c r="R39" s="3">
        <v>436100</v>
      </c>
      <c r="S39" t="s">
        <v>57</v>
      </c>
      <c r="T39" t="s">
        <v>48</v>
      </c>
      <c r="U39" t="s">
        <v>49</v>
      </c>
      <c r="V39" s="5">
        <v>0.2718150087260035</v>
      </c>
    </row>
    <row r="40" spans="1:22" x14ac:dyDescent="0.35">
      <c r="A40" t="s">
        <v>202</v>
      </c>
      <c r="B40" s="2">
        <v>45686</v>
      </c>
      <c r="C40" t="s">
        <v>203</v>
      </c>
      <c r="D40" t="s">
        <v>204</v>
      </c>
      <c r="E40" t="s">
        <v>61</v>
      </c>
      <c r="F40" t="s">
        <v>42</v>
      </c>
      <c r="G40" t="s">
        <v>43</v>
      </c>
      <c r="H40" t="s">
        <v>44</v>
      </c>
      <c r="I40" t="s">
        <v>55</v>
      </c>
      <c r="J40" t="s">
        <v>56</v>
      </c>
      <c r="K40">
        <v>1</v>
      </c>
      <c r="L40" s="3">
        <v>35700</v>
      </c>
      <c r="M40" s="3">
        <v>21000</v>
      </c>
      <c r="N40" s="3">
        <v>35700</v>
      </c>
      <c r="O40" s="4">
        <v>0.08</v>
      </c>
      <c r="P40" s="3">
        <v>2856</v>
      </c>
      <c r="Q40" s="3">
        <v>32844</v>
      </c>
      <c r="R40" s="3">
        <v>11844</v>
      </c>
      <c r="S40" t="s">
        <v>67</v>
      </c>
      <c r="T40" t="s">
        <v>77</v>
      </c>
      <c r="U40" t="s">
        <v>49</v>
      </c>
      <c r="V40" s="5">
        <v>0.36061381074168802</v>
      </c>
    </row>
    <row r="41" spans="1:22" x14ac:dyDescent="0.35">
      <c r="A41" t="s">
        <v>205</v>
      </c>
      <c r="B41" s="2">
        <v>45687</v>
      </c>
      <c r="C41" t="s">
        <v>206</v>
      </c>
      <c r="D41" t="s">
        <v>207</v>
      </c>
      <c r="E41" t="s">
        <v>41</v>
      </c>
      <c r="F41" t="s">
        <v>53</v>
      </c>
      <c r="G41" t="s">
        <v>54</v>
      </c>
      <c r="H41" t="s">
        <v>44</v>
      </c>
      <c r="I41" t="s">
        <v>131</v>
      </c>
      <c r="J41" t="s">
        <v>91</v>
      </c>
      <c r="K41">
        <v>5</v>
      </c>
      <c r="L41" s="3">
        <v>121700</v>
      </c>
      <c r="M41" s="3">
        <v>390500</v>
      </c>
      <c r="N41" s="3">
        <v>608500</v>
      </c>
      <c r="O41" s="4">
        <v>0</v>
      </c>
      <c r="P41" s="3">
        <v>0</v>
      </c>
      <c r="Q41" s="3">
        <v>608500</v>
      </c>
      <c r="R41" s="3">
        <v>218000</v>
      </c>
      <c r="S41" t="s">
        <v>67</v>
      </c>
      <c r="T41" t="s">
        <v>48</v>
      </c>
      <c r="U41" t="s">
        <v>49</v>
      </c>
      <c r="V41" s="5">
        <v>0.35825801150369763</v>
      </c>
    </row>
    <row r="42" spans="1:22" x14ac:dyDescent="0.35">
      <c r="A42" t="s">
        <v>208</v>
      </c>
      <c r="B42" s="2">
        <v>45688</v>
      </c>
      <c r="C42" t="s">
        <v>209</v>
      </c>
      <c r="D42" t="s">
        <v>210</v>
      </c>
      <c r="E42" t="s">
        <v>61</v>
      </c>
      <c r="F42" t="s">
        <v>111</v>
      </c>
      <c r="G42" t="s">
        <v>112</v>
      </c>
      <c r="H42" t="s">
        <v>74</v>
      </c>
      <c r="I42" t="s">
        <v>45</v>
      </c>
      <c r="J42" t="s">
        <v>46</v>
      </c>
      <c r="K42">
        <v>6</v>
      </c>
      <c r="L42" s="3">
        <v>441500</v>
      </c>
      <c r="M42" s="3">
        <v>2052000</v>
      </c>
      <c r="N42" s="3">
        <v>2649000</v>
      </c>
      <c r="O42" s="4">
        <v>0</v>
      </c>
      <c r="P42" s="3">
        <v>0</v>
      </c>
      <c r="Q42" s="3">
        <v>2649000</v>
      </c>
      <c r="R42" s="3">
        <v>597000</v>
      </c>
      <c r="S42" t="s">
        <v>121</v>
      </c>
      <c r="T42" t="s">
        <v>77</v>
      </c>
      <c r="U42" t="s">
        <v>49</v>
      </c>
      <c r="V42" s="5">
        <v>0.22536806342015861</v>
      </c>
    </row>
    <row r="43" spans="1:22" x14ac:dyDescent="0.35">
      <c r="A43" t="s">
        <v>211</v>
      </c>
      <c r="B43" s="2">
        <v>45689</v>
      </c>
      <c r="C43" t="s">
        <v>212</v>
      </c>
      <c r="D43" t="s">
        <v>213</v>
      </c>
      <c r="E43" t="s">
        <v>61</v>
      </c>
      <c r="F43" t="s">
        <v>73</v>
      </c>
      <c r="G43" t="s">
        <v>73</v>
      </c>
      <c r="H43" t="s">
        <v>74</v>
      </c>
      <c r="I43" t="s">
        <v>55</v>
      </c>
      <c r="J43" t="s">
        <v>56</v>
      </c>
      <c r="K43">
        <v>7</v>
      </c>
      <c r="L43" s="3">
        <v>33300</v>
      </c>
      <c r="M43" s="3">
        <v>141400</v>
      </c>
      <c r="N43" s="3">
        <v>233100</v>
      </c>
      <c r="O43" s="4">
        <v>0</v>
      </c>
      <c r="P43" s="3">
        <v>0</v>
      </c>
      <c r="Q43" s="3">
        <v>233100</v>
      </c>
      <c r="R43" s="3">
        <v>91700</v>
      </c>
      <c r="S43" t="s">
        <v>67</v>
      </c>
      <c r="T43" t="s">
        <v>48</v>
      </c>
      <c r="U43" t="s">
        <v>49</v>
      </c>
      <c r="V43" s="5">
        <v>0.39339339339339341</v>
      </c>
    </row>
    <row r="44" spans="1:22" x14ac:dyDescent="0.35">
      <c r="A44" t="s">
        <v>214</v>
      </c>
      <c r="B44" s="2">
        <v>45691</v>
      </c>
      <c r="C44" t="s">
        <v>215</v>
      </c>
      <c r="D44" t="s">
        <v>216</v>
      </c>
      <c r="E44" t="s">
        <v>41</v>
      </c>
      <c r="F44" t="s">
        <v>111</v>
      </c>
      <c r="G44" t="s">
        <v>112</v>
      </c>
      <c r="H44" t="s">
        <v>74</v>
      </c>
      <c r="I44" t="s">
        <v>131</v>
      </c>
      <c r="J44" t="s">
        <v>91</v>
      </c>
      <c r="K44">
        <v>1</v>
      </c>
      <c r="L44" s="3">
        <v>121400</v>
      </c>
      <c r="M44" s="3">
        <v>76000</v>
      </c>
      <c r="N44" s="3">
        <v>121400</v>
      </c>
      <c r="O44" s="4">
        <v>0</v>
      </c>
      <c r="P44" s="3">
        <v>0</v>
      </c>
      <c r="Q44" s="3">
        <v>121400</v>
      </c>
      <c r="R44" s="3">
        <v>45400</v>
      </c>
      <c r="S44" t="s">
        <v>47</v>
      </c>
      <c r="T44" t="s">
        <v>107</v>
      </c>
      <c r="U44" t="s">
        <v>49</v>
      </c>
      <c r="V44" s="5">
        <v>0.37397034596375622</v>
      </c>
    </row>
    <row r="45" spans="1:22" x14ac:dyDescent="0.35">
      <c r="A45" t="s">
        <v>217</v>
      </c>
      <c r="B45" s="2">
        <v>45692</v>
      </c>
      <c r="C45" t="s">
        <v>218</v>
      </c>
      <c r="D45" t="s">
        <v>219</v>
      </c>
      <c r="E45" t="s">
        <v>61</v>
      </c>
      <c r="F45" t="s">
        <v>125</v>
      </c>
      <c r="G45" t="s">
        <v>126</v>
      </c>
      <c r="H45" t="s">
        <v>64</v>
      </c>
      <c r="I45" t="s">
        <v>75</v>
      </c>
      <c r="J45" t="s">
        <v>56</v>
      </c>
      <c r="K45">
        <v>2</v>
      </c>
      <c r="L45" s="3">
        <v>66900</v>
      </c>
      <c r="M45" s="3">
        <v>83600</v>
      </c>
      <c r="N45" s="3">
        <v>133800</v>
      </c>
      <c r="O45" s="4">
        <v>0</v>
      </c>
      <c r="P45" s="3">
        <v>0</v>
      </c>
      <c r="Q45" s="3">
        <v>133800</v>
      </c>
      <c r="R45" s="3">
        <v>50200</v>
      </c>
      <c r="S45" t="s">
        <v>121</v>
      </c>
      <c r="T45" t="s">
        <v>48</v>
      </c>
      <c r="U45" t="s">
        <v>49</v>
      </c>
      <c r="V45" s="5">
        <v>0.37518684603886399</v>
      </c>
    </row>
    <row r="46" spans="1:22" x14ac:dyDescent="0.35">
      <c r="A46" t="s">
        <v>220</v>
      </c>
      <c r="B46" s="2">
        <v>45692</v>
      </c>
      <c r="C46" t="s">
        <v>221</v>
      </c>
      <c r="D46" t="s">
        <v>222</v>
      </c>
      <c r="E46" t="s">
        <v>41</v>
      </c>
      <c r="F46" t="s">
        <v>81</v>
      </c>
      <c r="G46" t="s">
        <v>82</v>
      </c>
      <c r="H46" t="s">
        <v>64</v>
      </c>
      <c r="I46" t="s">
        <v>45</v>
      </c>
      <c r="J46" t="s">
        <v>46</v>
      </c>
      <c r="K46">
        <v>7</v>
      </c>
      <c r="L46" s="3">
        <v>431300</v>
      </c>
      <c r="M46" s="3">
        <v>2375800</v>
      </c>
      <c r="N46" s="3">
        <v>3019100</v>
      </c>
      <c r="O46" s="4">
        <v>0.02</v>
      </c>
      <c r="P46" s="3">
        <v>60382</v>
      </c>
      <c r="Q46" s="3">
        <v>2958718</v>
      </c>
      <c r="R46" s="3">
        <v>582918</v>
      </c>
      <c r="S46" t="s">
        <v>76</v>
      </c>
      <c r="T46" t="s">
        <v>77</v>
      </c>
      <c r="U46" t="s">
        <v>49</v>
      </c>
      <c r="V46" s="5">
        <v>0.19701708645433599</v>
      </c>
    </row>
    <row r="47" spans="1:22" x14ac:dyDescent="0.35">
      <c r="A47" t="s">
        <v>223</v>
      </c>
      <c r="B47" s="2">
        <v>45692</v>
      </c>
      <c r="C47" t="s">
        <v>118</v>
      </c>
      <c r="D47" t="s">
        <v>224</v>
      </c>
      <c r="E47" t="s">
        <v>41</v>
      </c>
      <c r="F47" t="s">
        <v>125</v>
      </c>
      <c r="G47" t="s">
        <v>126</v>
      </c>
      <c r="H47" t="s">
        <v>64</v>
      </c>
      <c r="I47" t="s">
        <v>131</v>
      </c>
      <c r="J47" t="s">
        <v>91</v>
      </c>
      <c r="K47">
        <v>6</v>
      </c>
      <c r="L47" s="3">
        <v>112900</v>
      </c>
      <c r="M47" s="3">
        <v>480600</v>
      </c>
      <c r="N47" s="3">
        <v>677400</v>
      </c>
      <c r="O47" s="4">
        <v>0</v>
      </c>
      <c r="P47" s="3">
        <v>0</v>
      </c>
      <c r="Q47" s="3">
        <v>677400</v>
      </c>
      <c r="R47" s="3">
        <v>196800</v>
      </c>
      <c r="S47" t="s">
        <v>121</v>
      </c>
      <c r="T47" t="s">
        <v>48</v>
      </c>
      <c r="U47" t="s">
        <v>49</v>
      </c>
      <c r="V47" s="5">
        <v>0.29052258635961031</v>
      </c>
    </row>
    <row r="48" spans="1:22" x14ac:dyDescent="0.35">
      <c r="A48" t="s">
        <v>225</v>
      </c>
      <c r="B48" s="2">
        <v>45692</v>
      </c>
      <c r="C48" t="s">
        <v>226</v>
      </c>
      <c r="D48" t="s">
        <v>207</v>
      </c>
      <c r="E48" t="s">
        <v>41</v>
      </c>
      <c r="F48" t="s">
        <v>81</v>
      </c>
      <c r="G48" t="s">
        <v>82</v>
      </c>
      <c r="H48" t="s">
        <v>64</v>
      </c>
      <c r="I48" t="s">
        <v>156</v>
      </c>
      <c r="J48" t="s">
        <v>91</v>
      </c>
      <c r="K48">
        <v>5</v>
      </c>
      <c r="L48" s="3">
        <v>221300</v>
      </c>
      <c r="M48" s="3">
        <v>801500</v>
      </c>
      <c r="N48" s="3">
        <v>1106500</v>
      </c>
      <c r="O48" s="4">
        <v>0.05</v>
      </c>
      <c r="P48" s="3">
        <v>55325</v>
      </c>
      <c r="Q48" s="3">
        <v>1051175</v>
      </c>
      <c r="R48" s="3">
        <v>249675</v>
      </c>
      <c r="S48" t="s">
        <v>57</v>
      </c>
      <c r="T48" t="s">
        <v>107</v>
      </c>
      <c r="U48" t="s">
        <v>49</v>
      </c>
      <c r="V48" s="5">
        <v>0.237519918186791</v>
      </c>
    </row>
    <row r="49" spans="1:22" x14ac:dyDescent="0.35">
      <c r="A49" t="s">
        <v>227</v>
      </c>
      <c r="B49" s="2">
        <v>45695</v>
      </c>
      <c r="C49" t="s">
        <v>228</v>
      </c>
      <c r="D49" t="s">
        <v>229</v>
      </c>
      <c r="E49" t="s">
        <v>41</v>
      </c>
      <c r="F49" t="s">
        <v>42</v>
      </c>
      <c r="G49" t="s">
        <v>43</v>
      </c>
      <c r="H49" t="s">
        <v>44</v>
      </c>
      <c r="I49" t="s">
        <v>83</v>
      </c>
      <c r="J49" t="s">
        <v>56</v>
      </c>
      <c r="K49">
        <v>1</v>
      </c>
      <c r="L49" s="3">
        <v>46200</v>
      </c>
      <c r="M49" s="3">
        <v>27100</v>
      </c>
      <c r="N49" s="3">
        <v>46200</v>
      </c>
      <c r="O49" s="4">
        <v>0.1</v>
      </c>
      <c r="P49" s="3">
        <v>4620</v>
      </c>
      <c r="Q49" s="3">
        <v>41580</v>
      </c>
      <c r="R49" s="3">
        <v>14480</v>
      </c>
      <c r="S49" t="s">
        <v>121</v>
      </c>
      <c r="T49" t="s">
        <v>48</v>
      </c>
      <c r="U49" t="s">
        <v>49</v>
      </c>
      <c r="V49" s="5">
        <v>0.34824434824434819</v>
      </c>
    </row>
    <row r="50" spans="1:22" x14ac:dyDescent="0.35">
      <c r="A50" t="s">
        <v>230</v>
      </c>
      <c r="B50" s="2">
        <v>45695</v>
      </c>
      <c r="C50" t="s">
        <v>231</v>
      </c>
      <c r="D50" t="s">
        <v>232</v>
      </c>
      <c r="E50" t="s">
        <v>41</v>
      </c>
      <c r="F50" t="s">
        <v>111</v>
      </c>
      <c r="G50" t="s">
        <v>112</v>
      </c>
      <c r="H50" t="s">
        <v>74</v>
      </c>
      <c r="I50" t="s">
        <v>156</v>
      </c>
      <c r="J50" t="s">
        <v>91</v>
      </c>
      <c r="K50">
        <v>7</v>
      </c>
      <c r="L50" s="3">
        <v>231000</v>
      </c>
      <c r="M50" s="3">
        <v>1165500</v>
      </c>
      <c r="N50" s="3">
        <v>1617000</v>
      </c>
      <c r="O50" s="4">
        <v>0.05</v>
      </c>
      <c r="P50" s="3">
        <v>80850</v>
      </c>
      <c r="Q50" s="3">
        <v>1536150</v>
      </c>
      <c r="R50" s="3">
        <v>370650</v>
      </c>
      <c r="S50" t="s">
        <v>67</v>
      </c>
      <c r="T50" t="s">
        <v>107</v>
      </c>
      <c r="U50" t="s">
        <v>49</v>
      </c>
      <c r="V50" s="5">
        <v>0.24128503075871499</v>
      </c>
    </row>
    <row r="51" spans="1:22" x14ac:dyDescent="0.35">
      <c r="A51" t="s">
        <v>233</v>
      </c>
      <c r="B51" s="2">
        <v>45695</v>
      </c>
      <c r="C51" t="s">
        <v>234</v>
      </c>
      <c r="D51" t="s">
        <v>235</v>
      </c>
      <c r="E51" t="s">
        <v>61</v>
      </c>
      <c r="F51" t="s">
        <v>73</v>
      </c>
      <c r="G51" t="s">
        <v>73</v>
      </c>
      <c r="H51" t="s">
        <v>74</v>
      </c>
      <c r="I51" t="s">
        <v>90</v>
      </c>
      <c r="J51" t="s">
        <v>91</v>
      </c>
      <c r="K51">
        <v>5</v>
      </c>
      <c r="L51" s="3">
        <v>172600</v>
      </c>
      <c r="M51" s="3">
        <v>622500</v>
      </c>
      <c r="N51" s="3">
        <v>863000</v>
      </c>
      <c r="O51" s="4">
        <v>0.08</v>
      </c>
      <c r="P51" s="3">
        <v>69040</v>
      </c>
      <c r="Q51" s="3">
        <v>793960</v>
      </c>
      <c r="R51" s="3">
        <v>171460</v>
      </c>
      <c r="S51" t="s">
        <v>57</v>
      </c>
      <c r="T51" t="s">
        <v>107</v>
      </c>
      <c r="U51" t="s">
        <v>49</v>
      </c>
      <c r="V51" s="5">
        <v>0.21595546375132249</v>
      </c>
    </row>
    <row r="52" spans="1:22" x14ac:dyDescent="0.35">
      <c r="A52" t="s">
        <v>236</v>
      </c>
      <c r="B52" s="2">
        <v>45696</v>
      </c>
      <c r="C52" t="s">
        <v>237</v>
      </c>
      <c r="D52" t="s">
        <v>238</v>
      </c>
      <c r="E52" t="s">
        <v>41</v>
      </c>
      <c r="F52" t="s">
        <v>53</v>
      </c>
      <c r="G52" t="s">
        <v>54</v>
      </c>
      <c r="H52" t="s">
        <v>44</v>
      </c>
      <c r="I52" t="s">
        <v>156</v>
      </c>
      <c r="J52" t="s">
        <v>91</v>
      </c>
      <c r="K52">
        <v>3</v>
      </c>
      <c r="L52" s="3">
        <v>227800</v>
      </c>
      <c r="M52" s="3">
        <v>489900</v>
      </c>
      <c r="N52" s="3">
        <v>683400</v>
      </c>
      <c r="O52" s="4">
        <v>0.08</v>
      </c>
      <c r="P52" s="3">
        <v>54672</v>
      </c>
      <c r="Q52" s="3">
        <v>628728</v>
      </c>
      <c r="R52" s="3">
        <v>138828</v>
      </c>
      <c r="S52" t="s">
        <v>67</v>
      </c>
      <c r="T52" t="s">
        <v>77</v>
      </c>
      <c r="U52" t="s">
        <v>49</v>
      </c>
      <c r="V52" s="5">
        <v>0.22080772607550481</v>
      </c>
    </row>
    <row r="53" spans="1:22" x14ac:dyDescent="0.35">
      <c r="A53" t="s">
        <v>239</v>
      </c>
      <c r="B53" s="2">
        <v>45698</v>
      </c>
      <c r="C53" t="s">
        <v>240</v>
      </c>
      <c r="D53" t="s">
        <v>241</v>
      </c>
      <c r="E53" t="s">
        <v>61</v>
      </c>
      <c r="F53" t="s">
        <v>72</v>
      </c>
      <c r="G53" t="s">
        <v>73</v>
      </c>
      <c r="H53" t="s">
        <v>74</v>
      </c>
      <c r="I53" t="s">
        <v>75</v>
      </c>
      <c r="J53" t="s">
        <v>56</v>
      </c>
      <c r="K53">
        <v>7</v>
      </c>
      <c r="L53" s="3">
        <v>68400</v>
      </c>
      <c r="M53" s="3">
        <v>290500</v>
      </c>
      <c r="N53" s="3">
        <v>478800</v>
      </c>
      <c r="O53" s="4">
        <v>0</v>
      </c>
      <c r="P53" s="3">
        <v>0</v>
      </c>
      <c r="Q53" s="3">
        <v>478800</v>
      </c>
      <c r="R53" s="3">
        <v>188300</v>
      </c>
      <c r="S53" t="s">
        <v>57</v>
      </c>
      <c r="T53" t="s">
        <v>77</v>
      </c>
      <c r="U53" t="s">
        <v>49</v>
      </c>
      <c r="V53" s="5">
        <v>0.39327485380116961</v>
      </c>
    </row>
    <row r="54" spans="1:22" x14ac:dyDescent="0.35">
      <c r="A54" t="s">
        <v>242</v>
      </c>
      <c r="B54" s="2">
        <v>45698</v>
      </c>
      <c r="C54" t="s">
        <v>243</v>
      </c>
      <c r="D54" t="s">
        <v>244</v>
      </c>
      <c r="E54" t="s">
        <v>61</v>
      </c>
      <c r="F54" t="s">
        <v>73</v>
      </c>
      <c r="G54" t="s">
        <v>73</v>
      </c>
      <c r="H54" t="s">
        <v>74</v>
      </c>
      <c r="I54" t="s">
        <v>113</v>
      </c>
      <c r="J54" t="s">
        <v>66</v>
      </c>
      <c r="K54">
        <v>2</v>
      </c>
      <c r="L54" s="3">
        <v>222700</v>
      </c>
      <c r="M54" s="3">
        <v>311400</v>
      </c>
      <c r="N54" s="3">
        <v>445400</v>
      </c>
      <c r="O54" s="4">
        <v>0</v>
      </c>
      <c r="P54" s="3">
        <v>0</v>
      </c>
      <c r="Q54" s="3">
        <v>445400</v>
      </c>
      <c r="R54" s="3">
        <v>134000</v>
      </c>
      <c r="S54" t="s">
        <v>76</v>
      </c>
      <c r="T54" t="s">
        <v>48</v>
      </c>
      <c r="U54" t="s">
        <v>49</v>
      </c>
      <c r="V54" s="5">
        <v>0.30085316569375842</v>
      </c>
    </row>
    <row r="55" spans="1:22" x14ac:dyDescent="0.35">
      <c r="A55" t="s">
        <v>245</v>
      </c>
      <c r="B55" s="2">
        <v>45698</v>
      </c>
      <c r="C55" t="s">
        <v>246</v>
      </c>
      <c r="D55" t="s">
        <v>247</v>
      </c>
      <c r="E55" t="s">
        <v>61</v>
      </c>
      <c r="F55" t="s">
        <v>42</v>
      </c>
      <c r="G55" t="s">
        <v>43</v>
      </c>
      <c r="H55" t="s">
        <v>44</v>
      </c>
      <c r="I55" t="s">
        <v>103</v>
      </c>
      <c r="J55" t="s">
        <v>46</v>
      </c>
      <c r="K55">
        <v>1</v>
      </c>
      <c r="L55" s="3">
        <v>686800</v>
      </c>
      <c r="M55" s="3">
        <v>529400</v>
      </c>
      <c r="N55" s="3">
        <v>686800</v>
      </c>
      <c r="O55" s="4">
        <v>0</v>
      </c>
      <c r="P55" s="3">
        <v>0</v>
      </c>
      <c r="Q55" s="3">
        <v>686800</v>
      </c>
      <c r="R55" s="3">
        <v>157400</v>
      </c>
      <c r="S55" t="s">
        <v>47</v>
      </c>
      <c r="T55" t="s">
        <v>107</v>
      </c>
      <c r="U55" t="s">
        <v>49</v>
      </c>
      <c r="V55" s="5">
        <v>0.2291788002329645</v>
      </c>
    </row>
    <row r="56" spans="1:22" x14ac:dyDescent="0.35">
      <c r="A56" t="s">
        <v>248</v>
      </c>
      <c r="B56" s="2">
        <v>45701</v>
      </c>
      <c r="C56" t="s">
        <v>231</v>
      </c>
      <c r="D56" t="s">
        <v>249</v>
      </c>
      <c r="E56" t="s">
        <v>41</v>
      </c>
      <c r="F56" t="s">
        <v>72</v>
      </c>
      <c r="G56" t="s">
        <v>73</v>
      </c>
      <c r="H56" t="s">
        <v>74</v>
      </c>
      <c r="I56" t="s">
        <v>45</v>
      </c>
      <c r="J56" t="s">
        <v>46</v>
      </c>
      <c r="K56">
        <v>2</v>
      </c>
      <c r="L56" s="3">
        <v>408700</v>
      </c>
      <c r="M56" s="3">
        <v>693000</v>
      </c>
      <c r="N56" s="3">
        <v>817400</v>
      </c>
      <c r="O56" s="4">
        <v>0.05</v>
      </c>
      <c r="P56" s="3">
        <v>40870</v>
      </c>
      <c r="Q56" s="3">
        <v>776530</v>
      </c>
      <c r="R56" s="3">
        <v>83530</v>
      </c>
      <c r="S56" t="s">
        <v>47</v>
      </c>
      <c r="T56" t="s">
        <v>77</v>
      </c>
      <c r="U56" t="s">
        <v>49</v>
      </c>
      <c r="V56" s="5">
        <v>0.10756828454792471</v>
      </c>
    </row>
    <row r="57" spans="1:22" x14ac:dyDescent="0.35">
      <c r="A57" t="s">
        <v>250</v>
      </c>
      <c r="B57" s="2">
        <v>45702</v>
      </c>
      <c r="C57" t="s">
        <v>115</v>
      </c>
      <c r="D57" t="s">
        <v>251</v>
      </c>
      <c r="E57" t="s">
        <v>61</v>
      </c>
      <c r="F57" t="s">
        <v>168</v>
      </c>
      <c r="G57" t="s">
        <v>169</v>
      </c>
      <c r="H57" t="s">
        <v>74</v>
      </c>
      <c r="I57" t="s">
        <v>140</v>
      </c>
      <c r="J57" t="s">
        <v>46</v>
      </c>
      <c r="K57">
        <v>2</v>
      </c>
      <c r="L57" s="3">
        <v>275900</v>
      </c>
      <c r="M57" s="3">
        <v>436200</v>
      </c>
      <c r="N57" s="3">
        <v>551800</v>
      </c>
      <c r="O57" s="4">
        <v>0</v>
      </c>
      <c r="P57" s="3">
        <v>0</v>
      </c>
      <c r="Q57" s="3">
        <v>551800</v>
      </c>
      <c r="R57" s="3">
        <v>115600</v>
      </c>
      <c r="S57" t="s">
        <v>57</v>
      </c>
      <c r="T57" t="s">
        <v>48</v>
      </c>
      <c r="U57" t="s">
        <v>49</v>
      </c>
      <c r="V57" s="5">
        <v>0.20949619427328739</v>
      </c>
    </row>
    <row r="58" spans="1:22" x14ac:dyDescent="0.35">
      <c r="A58" t="s">
        <v>252</v>
      </c>
      <c r="B58" s="2">
        <v>45702</v>
      </c>
      <c r="C58" t="s">
        <v>79</v>
      </c>
      <c r="D58" t="s">
        <v>253</v>
      </c>
      <c r="E58" t="s">
        <v>41</v>
      </c>
      <c r="F58" t="s">
        <v>200</v>
      </c>
      <c r="G58" t="s">
        <v>201</v>
      </c>
      <c r="H58" t="s">
        <v>99</v>
      </c>
      <c r="I58" t="s">
        <v>75</v>
      </c>
      <c r="J58" t="s">
        <v>56</v>
      </c>
      <c r="K58">
        <v>7</v>
      </c>
      <c r="L58" s="3">
        <v>68600</v>
      </c>
      <c r="M58" s="3">
        <v>291200</v>
      </c>
      <c r="N58" s="3">
        <v>480200</v>
      </c>
      <c r="O58" s="4">
        <v>0.02</v>
      </c>
      <c r="P58" s="3">
        <v>9604</v>
      </c>
      <c r="Q58" s="3">
        <v>470596</v>
      </c>
      <c r="R58" s="3">
        <v>179396</v>
      </c>
      <c r="S58" t="s">
        <v>47</v>
      </c>
      <c r="T58" t="s">
        <v>107</v>
      </c>
      <c r="U58" t="s">
        <v>49</v>
      </c>
      <c r="V58" s="5">
        <v>0.38121021003153449</v>
      </c>
    </row>
    <row r="59" spans="1:22" x14ac:dyDescent="0.35">
      <c r="A59" t="s">
        <v>254</v>
      </c>
      <c r="B59" s="2">
        <v>45703</v>
      </c>
      <c r="C59" t="s">
        <v>255</v>
      </c>
      <c r="D59" t="s">
        <v>256</v>
      </c>
      <c r="E59" t="s">
        <v>41</v>
      </c>
      <c r="F59" t="s">
        <v>81</v>
      </c>
      <c r="G59" t="s">
        <v>82</v>
      </c>
      <c r="H59" t="s">
        <v>64</v>
      </c>
      <c r="I59" t="s">
        <v>75</v>
      </c>
      <c r="J59" t="s">
        <v>56</v>
      </c>
      <c r="K59">
        <v>1</v>
      </c>
      <c r="L59" s="3">
        <v>65400</v>
      </c>
      <c r="M59" s="3">
        <v>43500</v>
      </c>
      <c r="N59" s="3">
        <v>65400</v>
      </c>
      <c r="O59" s="4">
        <v>0</v>
      </c>
      <c r="P59" s="3">
        <v>0</v>
      </c>
      <c r="Q59" s="3">
        <v>65400</v>
      </c>
      <c r="R59" s="3">
        <v>21900</v>
      </c>
      <c r="S59" t="s">
        <v>67</v>
      </c>
      <c r="T59" t="s">
        <v>77</v>
      </c>
      <c r="U59" t="s">
        <v>49</v>
      </c>
      <c r="V59" s="5">
        <v>0.33486238532110091</v>
      </c>
    </row>
    <row r="60" spans="1:22" x14ac:dyDescent="0.35">
      <c r="A60" t="s">
        <v>257</v>
      </c>
      <c r="B60" s="2">
        <v>45704</v>
      </c>
      <c r="C60" t="s">
        <v>101</v>
      </c>
      <c r="D60" t="s">
        <v>213</v>
      </c>
      <c r="E60" t="s">
        <v>61</v>
      </c>
      <c r="F60" t="s">
        <v>195</v>
      </c>
      <c r="G60" t="s">
        <v>195</v>
      </c>
      <c r="H60" t="s">
        <v>196</v>
      </c>
      <c r="I60" t="s">
        <v>131</v>
      </c>
      <c r="J60" t="s">
        <v>91</v>
      </c>
      <c r="K60">
        <v>4</v>
      </c>
      <c r="L60" s="3">
        <v>122400</v>
      </c>
      <c r="M60" s="3">
        <v>301600</v>
      </c>
      <c r="N60" s="3">
        <v>489600</v>
      </c>
      <c r="O60" s="4">
        <v>0</v>
      </c>
      <c r="P60" s="3">
        <v>0</v>
      </c>
      <c r="Q60" s="3">
        <v>489600</v>
      </c>
      <c r="R60" s="3">
        <v>188000</v>
      </c>
      <c r="S60" t="s">
        <v>57</v>
      </c>
      <c r="T60" t="s">
        <v>77</v>
      </c>
      <c r="U60" t="s">
        <v>49</v>
      </c>
      <c r="V60" s="5">
        <v>0.38398692810457519</v>
      </c>
    </row>
    <row r="61" spans="1:22" x14ac:dyDescent="0.35">
      <c r="A61" t="s">
        <v>258</v>
      </c>
      <c r="B61" s="2">
        <v>45704</v>
      </c>
      <c r="C61" t="s">
        <v>259</v>
      </c>
      <c r="D61" t="s">
        <v>119</v>
      </c>
      <c r="E61" t="s">
        <v>41</v>
      </c>
      <c r="F61" t="s">
        <v>168</v>
      </c>
      <c r="G61" t="s">
        <v>169</v>
      </c>
      <c r="H61" t="s">
        <v>74</v>
      </c>
      <c r="I61" t="s">
        <v>120</v>
      </c>
      <c r="J61" t="s">
        <v>56</v>
      </c>
      <c r="K61">
        <v>5</v>
      </c>
      <c r="L61" s="3">
        <v>79900</v>
      </c>
      <c r="M61" s="3">
        <v>258000</v>
      </c>
      <c r="N61" s="3">
        <v>399500</v>
      </c>
      <c r="O61" s="4">
        <v>0.05</v>
      </c>
      <c r="P61" s="3">
        <v>19975</v>
      </c>
      <c r="Q61" s="3">
        <v>379525</v>
      </c>
      <c r="R61" s="3">
        <v>121525</v>
      </c>
      <c r="S61" t="s">
        <v>121</v>
      </c>
      <c r="T61" t="s">
        <v>77</v>
      </c>
      <c r="U61" t="s">
        <v>49</v>
      </c>
      <c r="V61" s="5">
        <v>0.32020288518542922</v>
      </c>
    </row>
    <row r="62" spans="1:22" x14ac:dyDescent="0.35">
      <c r="A62" t="s">
        <v>260</v>
      </c>
      <c r="B62" s="2">
        <v>45704</v>
      </c>
      <c r="C62" t="s">
        <v>261</v>
      </c>
      <c r="D62" t="s">
        <v>262</v>
      </c>
      <c r="E62" t="s">
        <v>61</v>
      </c>
      <c r="F62" t="s">
        <v>62</v>
      </c>
      <c r="G62" t="s">
        <v>63</v>
      </c>
      <c r="H62" t="s">
        <v>64</v>
      </c>
      <c r="I62" t="s">
        <v>156</v>
      </c>
      <c r="J62" t="s">
        <v>91</v>
      </c>
      <c r="K62">
        <v>3</v>
      </c>
      <c r="L62" s="3">
        <v>225900</v>
      </c>
      <c r="M62" s="3">
        <v>498600</v>
      </c>
      <c r="N62" s="3">
        <v>677700</v>
      </c>
      <c r="O62" s="4">
        <v>0.02</v>
      </c>
      <c r="P62" s="3">
        <v>13554</v>
      </c>
      <c r="Q62" s="3">
        <v>664146</v>
      </c>
      <c r="R62" s="3">
        <v>165546</v>
      </c>
      <c r="S62" t="s">
        <v>76</v>
      </c>
      <c r="T62" t="s">
        <v>48</v>
      </c>
      <c r="U62" t="s">
        <v>49</v>
      </c>
      <c r="V62" s="5">
        <v>0.24926145757107621</v>
      </c>
    </row>
    <row r="63" spans="1:22" x14ac:dyDescent="0.35">
      <c r="A63" t="s">
        <v>263</v>
      </c>
      <c r="B63" s="2">
        <v>45704</v>
      </c>
      <c r="C63" t="s">
        <v>264</v>
      </c>
      <c r="D63" t="s">
        <v>251</v>
      </c>
      <c r="E63" t="s">
        <v>41</v>
      </c>
      <c r="F63" t="s">
        <v>73</v>
      </c>
      <c r="G63" t="s">
        <v>73</v>
      </c>
      <c r="H63" t="s">
        <v>74</v>
      </c>
      <c r="I63" t="s">
        <v>156</v>
      </c>
      <c r="J63" t="s">
        <v>91</v>
      </c>
      <c r="K63">
        <v>3</v>
      </c>
      <c r="L63" s="3">
        <v>256800</v>
      </c>
      <c r="M63" s="3">
        <v>482400</v>
      </c>
      <c r="N63" s="3">
        <v>770400</v>
      </c>
      <c r="O63" s="4">
        <v>0.05</v>
      </c>
      <c r="P63" s="3">
        <v>38520</v>
      </c>
      <c r="Q63" s="3">
        <v>731880</v>
      </c>
      <c r="R63" s="3">
        <v>249480</v>
      </c>
      <c r="S63" t="s">
        <v>67</v>
      </c>
      <c r="T63" t="s">
        <v>77</v>
      </c>
      <c r="U63" t="s">
        <v>49</v>
      </c>
      <c r="V63" s="5">
        <v>0.34087555336940478</v>
      </c>
    </row>
    <row r="64" spans="1:22" x14ac:dyDescent="0.35">
      <c r="A64" t="s">
        <v>265</v>
      </c>
      <c r="B64" s="2">
        <v>45704</v>
      </c>
      <c r="C64" t="s">
        <v>266</v>
      </c>
      <c r="D64" t="s">
        <v>267</v>
      </c>
      <c r="E64" t="s">
        <v>41</v>
      </c>
      <c r="F64" t="s">
        <v>168</v>
      </c>
      <c r="G64" t="s">
        <v>169</v>
      </c>
      <c r="H64" t="s">
        <v>74</v>
      </c>
      <c r="I64" t="s">
        <v>55</v>
      </c>
      <c r="J64" t="s">
        <v>56</v>
      </c>
      <c r="K64">
        <v>5</v>
      </c>
      <c r="L64" s="3">
        <v>37100</v>
      </c>
      <c r="M64" s="3">
        <v>104500</v>
      </c>
      <c r="N64" s="3">
        <v>185500</v>
      </c>
      <c r="O64" s="4">
        <v>0.1</v>
      </c>
      <c r="P64" s="3">
        <v>18550</v>
      </c>
      <c r="Q64" s="3">
        <v>166950</v>
      </c>
      <c r="R64" s="3">
        <v>62450</v>
      </c>
      <c r="S64" t="s">
        <v>67</v>
      </c>
      <c r="T64" t="s">
        <v>77</v>
      </c>
      <c r="U64" t="s">
        <v>49</v>
      </c>
      <c r="V64" s="5">
        <v>0.37406409104522309</v>
      </c>
    </row>
    <row r="65" spans="1:22" x14ac:dyDescent="0.35">
      <c r="A65" t="s">
        <v>268</v>
      </c>
      <c r="B65" s="2">
        <v>45705</v>
      </c>
      <c r="C65" t="s">
        <v>269</v>
      </c>
      <c r="D65" t="s">
        <v>270</v>
      </c>
      <c r="E65" t="s">
        <v>61</v>
      </c>
      <c r="F65" t="s">
        <v>73</v>
      </c>
      <c r="G65" t="s">
        <v>73</v>
      </c>
      <c r="H65" t="s">
        <v>74</v>
      </c>
      <c r="I65" t="s">
        <v>113</v>
      </c>
      <c r="J65" t="s">
        <v>66</v>
      </c>
      <c r="K65">
        <v>3</v>
      </c>
      <c r="L65" s="3">
        <v>196800</v>
      </c>
      <c r="M65" s="3">
        <v>437700</v>
      </c>
      <c r="N65" s="3">
        <v>590400</v>
      </c>
      <c r="O65" s="4">
        <v>0.08</v>
      </c>
      <c r="P65" s="3">
        <v>47232</v>
      </c>
      <c r="Q65" s="3">
        <v>543168</v>
      </c>
      <c r="R65" s="3">
        <v>105468</v>
      </c>
      <c r="S65" t="s">
        <v>47</v>
      </c>
      <c r="T65" t="s">
        <v>77</v>
      </c>
      <c r="U65" t="s">
        <v>49</v>
      </c>
      <c r="V65" s="5">
        <v>0.194171968893602</v>
      </c>
    </row>
    <row r="66" spans="1:22" x14ac:dyDescent="0.35">
      <c r="A66" t="s">
        <v>271</v>
      </c>
      <c r="B66" s="2">
        <v>45705</v>
      </c>
      <c r="C66" t="s">
        <v>115</v>
      </c>
      <c r="D66" t="s">
        <v>272</v>
      </c>
      <c r="E66" t="s">
        <v>41</v>
      </c>
      <c r="F66" t="s">
        <v>72</v>
      </c>
      <c r="G66" t="s">
        <v>73</v>
      </c>
      <c r="H66" t="s">
        <v>74</v>
      </c>
      <c r="I66" t="s">
        <v>45</v>
      </c>
      <c r="J66" t="s">
        <v>46</v>
      </c>
      <c r="K66">
        <v>4</v>
      </c>
      <c r="L66" s="3">
        <v>443000</v>
      </c>
      <c r="M66" s="3">
        <v>1352400</v>
      </c>
      <c r="N66" s="3">
        <v>1772000</v>
      </c>
      <c r="O66" s="4">
        <v>0</v>
      </c>
      <c r="P66" s="3">
        <v>0</v>
      </c>
      <c r="Q66" s="3">
        <v>1772000</v>
      </c>
      <c r="R66" s="3">
        <v>419600</v>
      </c>
      <c r="S66" t="s">
        <v>47</v>
      </c>
      <c r="T66" t="s">
        <v>77</v>
      </c>
      <c r="U66" t="s">
        <v>49</v>
      </c>
      <c r="V66" s="5">
        <v>0.23679458239277651</v>
      </c>
    </row>
    <row r="67" spans="1:22" x14ac:dyDescent="0.35">
      <c r="A67" t="s">
        <v>273</v>
      </c>
      <c r="B67" s="2">
        <v>45708</v>
      </c>
      <c r="C67" t="s">
        <v>274</v>
      </c>
      <c r="D67" t="s">
        <v>275</v>
      </c>
      <c r="E67" t="s">
        <v>41</v>
      </c>
      <c r="F67" t="s">
        <v>53</v>
      </c>
      <c r="G67" t="s">
        <v>54</v>
      </c>
      <c r="H67" t="s">
        <v>44</v>
      </c>
      <c r="I67" t="s">
        <v>45</v>
      </c>
      <c r="J67" t="s">
        <v>46</v>
      </c>
      <c r="K67">
        <v>1</v>
      </c>
      <c r="L67" s="3">
        <v>425800</v>
      </c>
      <c r="M67" s="3">
        <v>337300</v>
      </c>
      <c r="N67" s="3">
        <v>425800</v>
      </c>
      <c r="O67" s="4">
        <v>0.05</v>
      </c>
      <c r="P67" s="3">
        <v>21290</v>
      </c>
      <c r="Q67" s="3">
        <v>404510</v>
      </c>
      <c r="R67" s="3">
        <v>67210</v>
      </c>
      <c r="S67" t="s">
        <v>67</v>
      </c>
      <c r="T67" t="s">
        <v>48</v>
      </c>
      <c r="U67" t="s">
        <v>68</v>
      </c>
      <c r="V67" s="5">
        <v>0.16615164025611229</v>
      </c>
    </row>
    <row r="68" spans="1:22" x14ac:dyDescent="0.35">
      <c r="A68" t="s">
        <v>276</v>
      </c>
      <c r="B68" s="2">
        <v>45708</v>
      </c>
      <c r="C68" t="s">
        <v>269</v>
      </c>
      <c r="D68" t="s">
        <v>277</v>
      </c>
      <c r="E68" t="s">
        <v>41</v>
      </c>
      <c r="F68" t="s">
        <v>81</v>
      </c>
      <c r="G68" t="s">
        <v>82</v>
      </c>
      <c r="H68" t="s">
        <v>64</v>
      </c>
      <c r="I68" t="s">
        <v>120</v>
      </c>
      <c r="J68" t="s">
        <v>56</v>
      </c>
      <c r="K68">
        <v>8</v>
      </c>
      <c r="L68" s="3">
        <v>83400</v>
      </c>
      <c r="M68" s="3">
        <v>412000</v>
      </c>
      <c r="N68" s="3">
        <v>667200</v>
      </c>
      <c r="O68" s="4">
        <v>0.05</v>
      </c>
      <c r="P68" s="3">
        <v>33360</v>
      </c>
      <c r="Q68" s="3">
        <v>633840</v>
      </c>
      <c r="R68" s="3">
        <v>221840</v>
      </c>
      <c r="S68" t="s">
        <v>76</v>
      </c>
      <c r="T68" t="s">
        <v>77</v>
      </c>
      <c r="U68" t="s">
        <v>49</v>
      </c>
      <c r="V68" s="5">
        <v>0.349993689259119</v>
      </c>
    </row>
    <row r="69" spans="1:22" x14ac:dyDescent="0.35">
      <c r="A69" t="s">
        <v>278</v>
      </c>
      <c r="B69" s="2">
        <v>45709</v>
      </c>
      <c r="C69" t="s">
        <v>279</v>
      </c>
      <c r="D69" t="s">
        <v>124</v>
      </c>
      <c r="E69" t="s">
        <v>41</v>
      </c>
      <c r="F69" t="s">
        <v>195</v>
      </c>
      <c r="G69" t="s">
        <v>195</v>
      </c>
      <c r="H69" t="s">
        <v>196</v>
      </c>
      <c r="I69" t="s">
        <v>103</v>
      </c>
      <c r="J69" t="s">
        <v>46</v>
      </c>
      <c r="K69">
        <v>4</v>
      </c>
      <c r="L69" s="3">
        <v>644100</v>
      </c>
      <c r="M69" s="3">
        <v>2088800</v>
      </c>
      <c r="N69" s="3">
        <v>2576400</v>
      </c>
      <c r="O69" s="4">
        <v>0</v>
      </c>
      <c r="P69" s="3">
        <v>0</v>
      </c>
      <c r="Q69" s="3">
        <v>2576400</v>
      </c>
      <c r="R69" s="3">
        <v>487600</v>
      </c>
      <c r="S69" t="s">
        <v>57</v>
      </c>
      <c r="T69" t="s">
        <v>48</v>
      </c>
      <c r="U69" t="s">
        <v>49</v>
      </c>
      <c r="V69" s="5">
        <v>0.18925632665735129</v>
      </c>
    </row>
    <row r="70" spans="1:22" x14ac:dyDescent="0.35">
      <c r="A70" t="s">
        <v>280</v>
      </c>
      <c r="B70" s="2">
        <v>45712</v>
      </c>
      <c r="C70" t="s">
        <v>281</v>
      </c>
      <c r="D70" t="s">
        <v>282</v>
      </c>
      <c r="E70" t="s">
        <v>61</v>
      </c>
      <c r="F70" t="s">
        <v>73</v>
      </c>
      <c r="G70" t="s">
        <v>73</v>
      </c>
      <c r="H70" t="s">
        <v>74</v>
      </c>
      <c r="I70" t="s">
        <v>120</v>
      </c>
      <c r="J70" t="s">
        <v>56</v>
      </c>
      <c r="K70">
        <v>2</v>
      </c>
      <c r="L70" s="3">
        <v>85000</v>
      </c>
      <c r="M70" s="3">
        <v>106200</v>
      </c>
      <c r="N70" s="3">
        <v>170000</v>
      </c>
      <c r="O70" s="4">
        <v>0</v>
      </c>
      <c r="P70" s="3">
        <v>0</v>
      </c>
      <c r="Q70" s="3">
        <v>170000</v>
      </c>
      <c r="R70" s="3">
        <v>63800</v>
      </c>
      <c r="S70" t="s">
        <v>121</v>
      </c>
      <c r="T70" t="s">
        <v>48</v>
      </c>
      <c r="U70" t="s">
        <v>49</v>
      </c>
      <c r="V70" s="5">
        <v>0.37529411764705878</v>
      </c>
    </row>
    <row r="71" spans="1:22" x14ac:dyDescent="0.35">
      <c r="A71" t="s">
        <v>283</v>
      </c>
      <c r="B71" s="2">
        <v>45712</v>
      </c>
      <c r="C71" t="s">
        <v>284</v>
      </c>
      <c r="D71" t="s">
        <v>244</v>
      </c>
      <c r="E71" t="s">
        <v>61</v>
      </c>
      <c r="F71" t="s">
        <v>53</v>
      </c>
      <c r="G71" t="s">
        <v>54</v>
      </c>
      <c r="H71" t="s">
        <v>44</v>
      </c>
      <c r="I71" t="s">
        <v>65</v>
      </c>
      <c r="J71" t="s">
        <v>66</v>
      </c>
      <c r="K71">
        <v>8</v>
      </c>
      <c r="L71" s="3">
        <v>170600</v>
      </c>
      <c r="M71" s="3">
        <v>912000</v>
      </c>
      <c r="N71" s="3">
        <v>1364800</v>
      </c>
      <c r="O71" s="4">
        <v>0.05</v>
      </c>
      <c r="P71" s="3">
        <v>68240</v>
      </c>
      <c r="Q71" s="3">
        <v>1296560</v>
      </c>
      <c r="R71" s="3">
        <v>384560</v>
      </c>
      <c r="S71" t="s">
        <v>67</v>
      </c>
      <c r="T71" t="s">
        <v>48</v>
      </c>
      <c r="U71" t="s">
        <v>68</v>
      </c>
      <c r="V71" s="5">
        <v>0.29660023446658851</v>
      </c>
    </row>
    <row r="72" spans="1:22" x14ac:dyDescent="0.35">
      <c r="A72" t="s">
        <v>285</v>
      </c>
      <c r="B72" s="2">
        <v>45713</v>
      </c>
      <c r="C72" t="s">
        <v>286</v>
      </c>
      <c r="D72" t="s">
        <v>287</v>
      </c>
      <c r="E72" t="s">
        <v>61</v>
      </c>
      <c r="F72" t="s">
        <v>42</v>
      </c>
      <c r="G72" t="s">
        <v>43</v>
      </c>
      <c r="H72" t="s">
        <v>44</v>
      </c>
      <c r="I72" t="s">
        <v>45</v>
      </c>
      <c r="J72" t="s">
        <v>46</v>
      </c>
      <c r="K72">
        <v>5</v>
      </c>
      <c r="L72" s="3">
        <v>408000</v>
      </c>
      <c r="M72" s="3">
        <v>1620500</v>
      </c>
      <c r="N72" s="3">
        <v>2040000</v>
      </c>
      <c r="O72" s="4">
        <v>0.02</v>
      </c>
      <c r="P72" s="3">
        <v>40800</v>
      </c>
      <c r="Q72" s="3">
        <v>1999200</v>
      </c>
      <c r="R72" s="3">
        <v>378700</v>
      </c>
      <c r="S72" t="s">
        <v>67</v>
      </c>
      <c r="T72" t="s">
        <v>77</v>
      </c>
      <c r="U72" t="s">
        <v>49</v>
      </c>
      <c r="V72" s="5">
        <v>0.18942577030812319</v>
      </c>
    </row>
    <row r="73" spans="1:22" x14ac:dyDescent="0.35">
      <c r="A73" t="s">
        <v>288</v>
      </c>
      <c r="B73" s="2">
        <v>45713</v>
      </c>
      <c r="C73" t="s">
        <v>289</v>
      </c>
      <c r="D73" t="s">
        <v>189</v>
      </c>
      <c r="E73" t="s">
        <v>61</v>
      </c>
      <c r="F73" t="s">
        <v>73</v>
      </c>
      <c r="G73" t="s">
        <v>73</v>
      </c>
      <c r="H73" t="s">
        <v>74</v>
      </c>
      <c r="I73" t="s">
        <v>156</v>
      </c>
      <c r="J73" t="s">
        <v>91</v>
      </c>
      <c r="K73">
        <v>8</v>
      </c>
      <c r="L73" s="3">
        <v>235200</v>
      </c>
      <c r="M73" s="3">
        <v>1284800</v>
      </c>
      <c r="N73" s="3">
        <v>1881600</v>
      </c>
      <c r="O73" s="4">
        <v>0</v>
      </c>
      <c r="P73" s="3">
        <v>0</v>
      </c>
      <c r="Q73" s="3">
        <v>1881600</v>
      </c>
      <c r="R73" s="3">
        <v>596800</v>
      </c>
      <c r="S73" t="s">
        <v>47</v>
      </c>
      <c r="T73" t="s">
        <v>77</v>
      </c>
      <c r="U73" t="s">
        <v>49</v>
      </c>
      <c r="V73" s="5">
        <v>0.31717687074829931</v>
      </c>
    </row>
    <row r="74" spans="1:22" x14ac:dyDescent="0.35">
      <c r="A74" t="s">
        <v>290</v>
      </c>
      <c r="B74" s="2">
        <v>45713</v>
      </c>
      <c r="C74" t="s">
        <v>291</v>
      </c>
      <c r="D74" t="s">
        <v>292</v>
      </c>
      <c r="E74" t="s">
        <v>41</v>
      </c>
      <c r="F74" t="s">
        <v>81</v>
      </c>
      <c r="G74" t="s">
        <v>82</v>
      </c>
      <c r="H74" t="s">
        <v>64</v>
      </c>
      <c r="I74" t="s">
        <v>140</v>
      </c>
      <c r="J74" t="s">
        <v>46</v>
      </c>
      <c r="K74">
        <v>4</v>
      </c>
      <c r="L74" s="3">
        <v>298700</v>
      </c>
      <c r="M74" s="3">
        <v>833200</v>
      </c>
      <c r="N74" s="3">
        <v>1194800</v>
      </c>
      <c r="O74" s="4">
        <v>0</v>
      </c>
      <c r="P74" s="3">
        <v>0</v>
      </c>
      <c r="Q74" s="3">
        <v>1194800</v>
      </c>
      <c r="R74" s="3">
        <v>361600</v>
      </c>
      <c r="S74" t="s">
        <v>121</v>
      </c>
      <c r="T74" t="s">
        <v>77</v>
      </c>
      <c r="U74" t="s">
        <v>49</v>
      </c>
      <c r="V74" s="5">
        <v>0.30264479410780049</v>
      </c>
    </row>
    <row r="75" spans="1:22" x14ac:dyDescent="0.35">
      <c r="A75" t="s">
        <v>293</v>
      </c>
      <c r="B75" s="2">
        <v>45715</v>
      </c>
      <c r="C75" t="s">
        <v>294</v>
      </c>
      <c r="D75" t="s">
        <v>295</v>
      </c>
      <c r="E75" t="s">
        <v>61</v>
      </c>
      <c r="F75" t="s">
        <v>200</v>
      </c>
      <c r="G75" t="s">
        <v>201</v>
      </c>
      <c r="H75" t="s">
        <v>99</v>
      </c>
      <c r="I75" t="s">
        <v>90</v>
      </c>
      <c r="J75" t="s">
        <v>91</v>
      </c>
      <c r="K75">
        <v>7</v>
      </c>
      <c r="L75" s="3">
        <v>179400</v>
      </c>
      <c r="M75" s="3">
        <v>845600</v>
      </c>
      <c r="N75" s="3">
        <v>1255800</v>
      </c>
      <c r="O75" s="4">
        <v>0.02</v>
      </c>
      <c r="P75" s="3">
        <v>25116</v>
      </c>
      <c r="Q75" s="3">
        <v>1230684</v>
      </c>
      <c r="R75" s="3">
        <v>385084</v>
      </c>
      <c r="S75" t="s">
        <v>57</v>
      </c>
      <c r="T75" t="s">
        <v>48</v>
      </c>
      <c r="U75" t="s">
        <v>49</v>
      </c>
      <c r="V75" s="5">
        <v>0.31290241849248063</v>
      </c>
    </row>
    <row r="76" spans="1:22" x14ac:dyDescent="0.35">
      <c r="A76" t="s">
        <v>296</v>
      </c>
      <c r="B76" s="2">
        <v>45715</v>
      </c>
      <c r="C76" t="s">
        <v>297</v>
      </c>
      <c r="D76" t="s">
        <v>298</v>
      </c>
      <c r="E76" t="s">
        <v>61</v>
      </c>
      <c r="F76" t="s">
        <v>195</v>
      </c>
      <c r="G76" t="s">
        <v>195</v>
      </c>
      <c r="H76" t="s">
        <v>196</v>
      </c>
      <c r="I76" t="s">
        <v>83</v>
      </c>
      <c r="J76" t="s">
        <v>56</v>
      </c>
      <c r="K76">
        <v>6</v>
      </c>
      <c r="L76" s="3">
        <v>46100</v>
      </c>
      <c r="M76" s="3">
        <v>166800</v>
      </c>
      <c r="N76" s="3">
        <v>276600</v>
      </c>
      <c r="O76" s="4">
        <v>0.05</v>
      </c>
      <c r="P76" s="3">
        <v>13830</v>
      </c>
      <c r="Q76" s="3">
        <v>262770</v>
      </c>
      <c r="R76" s="3">
        <v>95970</v>
      </c>
      <c r="S76" t="s">
        <v>47</v>
      </c>
      <c r="T76" t="s">
        <v>107</v>
      </c>
      <c r="U76" t="s">
        <v>49</v>
      </c>
      <c r="V76" s="5">
        <v>0.36522434067815962</v>
      </c>
    </row>
    <row r="77" spans="1:22" x14ac:dyDescent="0.35">
      <c r="A77" t="s">
        <v>299</v>
      </c>
      <c r="B77" s="2">
        <v>45716</v>
      </c>
      <c r="C77" t="s">
        <v>300</v>
      </c>
      <c r="D77" t="s">
        <v>301</v>
      </c>
      <c r="E77" t="s">
        <v>61</v>
      </c>
      <c r="F77" t="s">
        <v>53</v>
      </c>
      <c r="G77" t="s">
        <v>54</v>
      </c>
      <c r="H77" t="s">
        <v>44</v>
      </c>
      <c r="I77" t="s">
        <v>140</v>
      </c>
      <c r="J77" t="s">
        <v>46</v>
      </c>
      <c r="K77">
        <v>2</v>
      </c>
      <c r="L77" s="3">
        <v>272000</v>
      </c>
      <c r="M77" s="3">
        <v>420400</v>
      </c>
      <c r="N77" s="3">
        <v>544000</v>
      </c>
      <c r="O77" s="4">
        <v>0</v>
      </c>
      <c r="P77" s="3">
        <v>0</v>
      </c>
      <c r="Q77" s="3">
        <v>544000</v>
      </c>
      <c r="R77" s="3">
        <v>123600</v>
      </c>
      <c r="S77" t="s">
        <v>67</v>
      </c>
      <c r="T77" t="s">
        <v>107</v>
      </c>
      <c r="U77" t="s">
        <v>49</v>
      </c>
      <c r="V77" s="5">
        <v>0.2272058823529412</v>
      </c>
    </row>
    <row r="78" spans="1:22" x14ac:dyDescent="0.35">
      <c r="A78" t="s">
        <v>302</v>
      </c>
      <c r="B78" s="2">
        <v>45716</v>
      </c>
      <c r="C78" t="s">
        <v>303</v>
      </c>
      <c r="D78" t="s">
        <v>304</v>
      </c>
      <c r="E78" t="s">
        <v>61</v>
      </c>
      <c r="F78" t="s">
        <v>111</v>
      </c>
      <c r="G78" t="s">
        <v>112</v>
      </c>
      <c r="H78" t="s">
        <v>74</v>
      </c>
      <c r="I78" t="s">
        <v>120</v>
      </c>
      <c r="J78" t="s">
        <v>56</v>
      </c>
      <c r="K78">
        <v>1</v>
      </c>
      <c r="L78" s="3">
        <v>84000</v>
      </c>
      <c r="M78" s="3">
        <v>51300</v>
      </c>
      <c r="N78" s="3">
        <v>84000</v>
      </c>
      <c r="O78" s="4">
        <v>0</v>
      </c>
      <c r="P78" s="3">
        <v>0</v>
      </c>
      <c r="Q78" s="3">
        <v>84000</v>
      </c>
      <c r="R78" s="3">
        <v>32700</v>
      </c>
      <c r="S78" t="s">
        <v>57</v>
      </c>
      <c r="T78" t="s">
        <v>48</v>
      </c>
      <c r="U78" t="s">
        <v>49</v>
      </c>
      <c r="V78" s="5">
        <v>0.38928571428571429</v>
      </c>
    </row>
    <row r="79" spans="1:22" x14ac:dyDescent="0.35">
      <c r="A79" t="s">
        <v>305</v>
      </c>
      <c r="B79" s="2">
        <v>45717</v>
      </c>
      <c r="C79" t="s">
        <v>306</v>
      </c>
      <c r="D79" t="s">
        <v>307</v>
      </c>
      <c r="E79" t="s">
        <v>41</v>
      </c>
      <c r="F79" t="s">
        <v>111</v>
      </c>
      <c r="G79" t="s">
        <v>112</v>
      </c>
      <c r="H79" t="s">
        <v>74</v>
      </c>
      <c r="I79" t="s">
        <v>75</v>
      </c>
      <c r="J79" t="s">
        <v>56</v>
      </c>
      <c r="K79">
        <v>5</v>
      </c>
      <c r="L79" s="3">
        <v>63300</v>
      </c>
      <c r="M79" s="3">
        <v>206500</v>
      </c>
      <c r="N79" s="3">
        <v>316500</v>
      </c>
      <c r="O79" s="4">
        <v>0.08</v>
      </c>
      <c r="P79" s="3">
        <v>25320</v>
      </c>
      <c r="Q79" s="3">
        <v>291180</v>
      </c>
      <c r="R79" s="3">
        <v>84680</v>
      </c>
      <c r="S79" t="s">
        <v>67</v>
      </c>
      <c r="T79" t="s">
        <v>48</v>
      </c>
      <c r="U79" t="s">
        <v>49</v>
      </c>
      <c r="V79" s="5">
        <v>0.29081667696957209</v>
      </c>
    </row>
    <row r="80" spans="1:22" x14ac:dyDescent="0.35">
      <c r="A80" t="s">
        <v>308</v>
      </c>
      <c r="B80" s="2">
        <v>45718</v>
      </c>
      <c r="C80" t="s">
        <v>309</v>
      </c>
      <c r="D80" t="s">
        <v>310</v>
      </c>
      <c r="E80" t="s">
        <v>41</v>
      </c>
      <c r="F80" t="s">
        <v>200</v>
      </c>
      <c r="G80" t="s">
        <v>201</v>
      </c>
      <c r="H80" t="s">
        <v>99</v>
      </c>
      <c r="I80" t="s">
        <v>113</v>
      </c>
      <c r="J80" t="s">
        <v>66</v>
      </c>
      <c r="K80">
        <v>7</v>
      </c>
      <c r="L80" s="3">
        <v>206100</v>
      </c>
      <c r="M80" s="3">
        <v>1065400</v>
      </c>
      <c r="N80" s="3">
        <v>1442700</v>
      </c>
      <c r="O80" s="4">
        <v>0</v>
      </c>
      <c r="P80" s="3">
        <v>0</v>
      </c>
      <c r="Q80" s="3">
        <v>1442700</v>
      </c>
      <c r="R80" s="3">
        <v>377300</v>
      </c>
      <c r="S80" t="s">
        <v>57</v>
      </c>
      <c r="T80" t="s">
        <v>77</v>
      </c>
      <c r="U80" t="s">
        <v>68</v>
      </c>
      <c r="V80" s="5">
        <v>0.26152353226589042</v>
      </c>
    </row>
    <row r="81" spans="1:22" x14ac:dyDescent="0.35">
      <c r="A81" t="s">
        <v>311</v>
      </c>
      <c r="B81" s="2">
        <v>45718</v>
      </c>
      <c r="C81" t="s">
        <v>312</v>
      </c>
      <c r="D81" t="s">
        <v>313</v>
      </c>
      <c r="E81" t="s">
        <v>61</v>
      </c>
      <c r="F81" t="s">
        <v>62</v>
      </c>
      <c r="G81" t="s">
        <v>63</v>
      </c>
      <c r="H81" t="s">
        <v>64</v>
      </c>
      <c r="I81" t="s">
        <v>113</v>
      </c>
      <c r="J81" t="s">
        <v>66</v>
      </c>
      <c r="K81">
        <v>5</v>
      </c>
      <c r="L81" s="3">
        <v>199000</v>
      </c>
      <c r="M81" s="3">
        <v>748500</v>
      </c>
      <c r="N81" s="3">
        <v>995000</v>
      </c>
      <c r="O81" s="4">
        <v>0.05</v>
      </c>
      <c r="P81" s="3">
        <v>49750</v>
      </c>
      <c r="Q81" s="3">
        <v>945250</v>
      </c>
      <c r="R81" s="3">
        <v>196750</v>
      </c>
      <c r="S81" t="s">
        <v>76</v>
      </c>
      <c r="T81" t="s">
        <v>48</v>
      </c>
      <c r="U81" t="s">
        <v>49</v>
      </c>
      <c r="V81" s="5">
        <v>0.20814599312351231</v>
      </c>
    </row>
    <row r="82" spans="1:22" x14ac:dyDescent="0.35">
      <c r="A82" t="s">
        <v>314</v>
      </c>
      <c r="B82" s="2">
        <v>45719</v>
      </c>
      <c r="C82" t="s">
        <v>315</v>
      </c>
      <c r="D82" t="s">
        <v>316</v>
      </c>
      <c r="E82" t="s">
        <v>41</v>
      </c>
      <c r="F82" t="s">
        <v>53</v>
      </c>
      <c r="G82" t="s">
        <v>54</v>
      </c>
      <c r="H82" t="s">
        <v>44</v>
      </c>
      <c r="I82" t="s">
        <v>120</v>
      </c>
      <c r="J82" t="s">
        <v>56</v>
      </c>
      <c r="K82">
        <v>4</v>
      </c>
      <c r="L82" s="3">
        <v>78300</v>
      </c>
      <c r="M82" s="3">
        <v>216000</v>
      </c>
      <c r="N82" s="3">
        <v>313200</v>
      </c>
      <c r="O82" s="4">
        <v>0.02</v>
      </c>
      <c r="P82" s="3">
        <v>6264</v>
      </c>
      <c r="Q82" s="3">
        <v>306936</v>
      </c>
      <c r="R82" s="3">
        <v>90936</v>
      </c>
      <c r="S82" t="s">
        <v>67</v>
      </c>
      <c r="T82" t="s">
        <v>107</v>
      </c>
      <c r="U82" t="s">
        <v>49</v>
      </c>
      <c r="V82" s="5">
        <v>0.29627023223082338</v>
      </c>
    </row>
    <row r="83" spans="1:22" x14ac:dyDescent="0.35">
      <c r="A83" t="s">
        <v>317</v>
      </c>
      <c r="B83" s="2">
        <v>45719</v>
      </c>
      <c r="C83" t="s">
        <v>318</v>
      </c>
      <c r="D83" t="s">
        <v>319</v>
      </c>
      <c r="E83" t="s">
        <v>61</v>
      </c>
      <c r="F83" t="s">
        <v>168</v>
      </c>
      <c r="G83" t="s">
        <v>169</v>
      </c>
      <c r="H83" t="s">
        <v>74</v>
      </c>
      <c r="I83" t="s">
        <v>75</v>
      </c>
      <c r="J83" t="s">
        <v>56</v>
      </c>
      <c r="K83">
        <v>4</v>
      </c>
      <c r="L83" s="3">
        <v>65300</v>
      </c>
      <c r="M83" s="3">
        <v>167200</v>
      </c>
      <c r="N83" s="3">
        <v>261200</v>
      </c>
      <c r="O83" s="4">
        <v>0</v>
      </c>
      <c r="P83" s="3">
        <v>0</v>
      </c>
      <c r="Q83" s="3">
        <v>261200</v>
      </c>
      <c r="R83" s="3">
        <v>94000</v>
      </c>
      <c r="S83" t="s">
        <v>67</v>
      </c>
      <c r="T83" t="s">
        <v>107</v>
      </c>
      <c r="U83" t="s">
        <v>68</v>
      </c>
      <c r="V83" s="5">
        <v>0.35987748851454832</v>
      </c>
    </row>
    <row r="84" spans="1:22" x14ac:dyDescent="0.35">
      <c r="A84" t="s">
        <v>320</v>
      </c>
      <c r="B84" s="2">
        <v>45720</v>
      </c>
      <c r="C84" t="s">
        <v>321</v>
      </c>
      <c r="D84" t="s">
        <v>322</v>
      </c>
      <c r="E84" t="s">
        <v>61</v>
      </c>
      <c r="F84" t="s">
        <v>81</v>
      </c>
      <c r="G84" t="s">
        <v>82</v>
      </c>
      <c r="H84" t="s">
        <v>64</v>
      </c>
      <c r="I84" t="s">
        <v>140</v>
      </c>
      <c r="J84" t="s">
        <v>46</v>
      </c>
      <c r="K84">
        <v>3</v>
      </c>
      <c r="L84" s="3">
        <v>281000</v>
      </c>
      <c r="M84" s="3">
        <v>641400</v>
      </c>
      <c r="N84" s="3">
        <v>843000</v>
      </c>
      <c r="O84" s="4">
        <v>0</v>
      </c>
      <c r="P84" s="3">
        <v>0</v>
      </c>
      <c r="Q84" s="3">
        <v>843000</v>
      </c>
      <c r="R84" s="3">
        <v>201600</v>
      </c>
      <c r="S84" t="s">
        <v>67</v>
      </c>
      <c r="T84" t="s">
        <v>107</v>
      </c>
      <c r="U84" t="s">
        <v>49</v>
      </c>
      <c r="V84" s="5">
        <v>0.2391459074733096</v>
      </c>
    </row>
    <row r="85" spans="1:22" x14ac:dyDescent="0.35">
      <c r="A85" t="s">
        <v>323</v>
      </c>
      <c r="B85" s="2">
        <v>45720</v>
      </c>
      <c r="C85" t="s">
        <v>324</v>
      </c>
      <c r="D85" t="s">
        <v>325</v>
      </c>
      <c r="E85" t="s">
        <v>41</v>
      </c>
      <c r="F85" t="s">
        <v>195</v>
      </c>
      <c r="G85" t="s">
        <v>195</v>
      </c>
      <c r="H85" t="s">
        <v>196</v>
      </c>
      <c r="I85" t="s">
        <v>113</v>
      </c>
      <c r="J85" t="s">
        <v>66</v>
      </c>
      <c r="K85">
        <v>4</v>
      </c>
      <c r="L85" s="3">
        <v>220000</v>
      </c>
      <c r="M85" s="3">
        <v>615600</v>
      </c>
      <c r="N85" s="3">
        <v>880000</v>
      </c>
      <c r="O85" s="4">
        <v>0.08</v>
      </c>
      <c r="P85" s="3">
        <v>70400</v>
      </c>
      <c r="Q85" s="3">
        <v>809600</v>
      </c>
      <c r="R85" s="3">
        <v>194000</v>
      </c>
      <c r="S85" t="s">
        <v>67</v>
      </c>
      <c r="T85" t="s">
        <v>77</v>
      </c>
      <c r="U85" t="s">
        <v>68</v>
      </c>
      <c r="V85" s="5">
        <v>0.23962450592885379</v>
      </c>
    </row>
    <row r="86" spans="1:22" x14ac:dyDescent="0.35">
      <c r="A86" t="s">
        <v>326</v>
      </c>
      <c r="B86" s="2">
        <v>45721</v>
      </c>
      <c r="C86" t="s">
        <v>327</v>
      </c>
      <c r="D86" t="s">
        <v>207</v>
      </c>
      <c r="E86" t="s">
        <v>41</v>
      </c>
      <c r="F86" t="s">
        <v>195</v>
      </c>
      <c r="G86" t="s">
        <v>195</v>
      </c>
      <c r="H86" t="s">
        <v>196</v>
      </c>
      <c r="I86" t="s">
        <v>45</v>
      </c>
      <c r="J86" t="s">
        <v>46</v>
      </c>
      <c r="K86">
        <v>3</v>
      </c>
      <c r="L86" s="3">
        <v>441600</v>
      </c>
      <c r="M86" s="3">
        <v>987300</v>
      </c>
      <c r="N86" s="3">
        <v>1324800</v>
      </c>
      <c r="O86" s="4">
        <v>0</v>
      </c>
      <c r="P86" s="3">
        <v>0</v>
      </c>
      <c r="Q86" s="3">
        <v>1324800</v>
      </c>
      <c r="R86" s="3">
        <v>337500</v>
      </c>
      <c r="S86" t="s">
        <v>67</v>
      </c>
      <c r="T86" t="s">
        <v>107</v>
      </c>
      <c r="U86" t="s">
        <v>49</v>
      </c>
      <c r="V86" s="5">
        <v>0.2547554347826087</v>
      </c>
    </row>
    <row r="87" spans="1:22" x14ac:dyDescent="0.35">
      <c r="A87" t="s">
        <v>328</v>
      </c>
      <c r="B87" s="2">
        <v>45722</v>
      </c>
      <c r="C87" t="s">
        <v>329</v>
      </c>
      <c r="D87" t="s">
        <v>330</v>
      </c>
      <c r="E87" t="s">
        <v>41</v>
      </c>
      <c r="F87" t="s">
        <v>53</v>
      </c>
      <c r="G87" t="s">
        <v>54</v>
      </c>
      <c r="H87" t="s">
        <v>44</v>
      </c>
      <c r="I87" t="s">
        <v>140</v>
      </c>
      <c r="J87" t="s">
        <v>46</v>
      </c>
      <c r="K87">
        <v>5</v>
      </c>
      <c r="L87" s="3">
        <v>258500</v>
      </c>
      <c r="M87" s="3">
        <v>1054500</v>
      </c>
      <c r="N87" s="3">
        <v>1292500</v>
      </c>
      <c r="O87" s="4">
        <v>0.05</v>
      </c>
      <c r="P87" s="3">
        <v>64625</v>
      </c>
      <c r="Q87" s="3">
        <v>1227875</v>
      </c>
      <c r="R87" s="3">
        <v>173375</v>
      </c>
      <c r="S87" t="s">
        <v>76</v>
      </c>
      <c r="T87" t="s">
        <v>107</v>
      </c>
      <c r="U87" t="s">
        <v>49</v>
      </c>
      <c r="V87" s="5">
        <v>0.1411992263056093</v>
      </c>
    </row>
    <row r="88" spans="1:22" x14ac:dyDescent="0.35">
      <c r="A88" t="s">
        <v>331</v>
      </c>
      <c r="B88" s="2">
        <v>45722</v>
      </c>
      <c r="C88" t="s">
        <v>221</v>
      </c>
      <c r="D88" t="s">
        <v>332</v>
      </c>
      <c r="E88" t="s">
        <v>61</v>
      </c>
      <c r="F88" t="s">
        <v>81</v>
      </c>
      <c r="G88" t="s">
        <v>82</v>
      </c>
      <c r="H88" t="s">
        <v>64</v>
      </c>
      <c r="I88" t="s">
        <v>156</v>
      </c>
      <c r="J88" t="s">
        <v>91</v>
      </c>
      <c r="K88">
        <v>2</v>
      </c>
      <c r="L88" s="3">
        <v>223000</v>
      </c>
      <c r="M88" s="3">
        <v>336600</v>
      </c>
      <c r="N88" s="3">
        <v>446000</v>
      </c>
      <c r="O88" s="4">
        <v>0.08</v>
      </c>
      <c r="P88" s="3">
        <v>35680</v>
      </c>
      <c r="Q88" s="3">
        <v>410320</v>
      </c>
      <c r="R88" s="3">
        <v>73720</v>
      </c>
      <c r="S88" t="s">
        <v>57</v>
      </c>
      <c r="T88" t="s">
        <v>48</v>
      </c>
      <c r="U88" t="s">
        <v>49</v>
      </c>
      <c r="V88" s="5">
        <v>0.1796646519789433</v>
      </c>
    </row>
    <row r="89" spans="1:22" x14ac:dyDescent="0.35">
      <c r="A89" t="s">
        <v>333</v>
      </c>
      <c r="B89" s="2">
        <v>45723</v>
      </c>
      <c r="C89" t="s">
        <v>334</v>
      </c>
      <c r="D89" t="s">
        <v>216</v>
      </c>
      <c r="E89" t="s">
        <v>41</v>
      </c>
      <c r="F89" t="s">
        <v>53</v>
      </c>
      <c r="G89" t="s">
        <v>54</v>
      </c>
      <c r="H89" t="s">
        <v>44</v>
      </c>
      <c r="I89" t="s">
        <v>140</v>
      </c>
      <c r="J89" t="s">
        <v>46</v>
      </c>
      <c r="K89">
        <v>5</v>
      </c>
      <c r="L89" s="3">
        <v>267900</v>
      </c>
      <c r="M89" s="3">
        <v>1038500</v>
      </c>
      <c r="N89" s="3">
        <v>1339500</v>
      </c>
      <c r="O89" s="4">
        <v>0</v>
      </c>
      <c r="P89" s="3">
        <v>0</v>
      </c>
      <c r="Q89" s="3">
        <v>1339500</v>
      </c>
      <c r="R89" s="3">
        <v>301000</v>
      </c>
      <c r="S89" t="s">
        <v>47</v>
      </c>
      <c r="T89" t="s">
        <v>48</v>
      </c>
      <c r="U89" t="s">
        <v>49</v>
      </c>
      <c r="V89" s="5">
        <v>0.22471071295259429</v>
      </c>
    </row>
    <row r="90" spans="1:22" x14ac:dyDescent="0.35">
      <c r="A90" t="s">
        <v>335</v>
      </c>
      <c r="B90" s="2">
        <v>45723</v>
      </c>
      <c r="C90" t="s">
        <v>109</v>
      </c>
      <c r="D90" t="s">
        <v>336</v>
      </c>
      <c r="E90" t="s">
        <v>61</v>
      </c>
      <c r="F90" t="s">
        <v>98</v>
      </c>
      <c r="G90" t="s">
        <v>98</v>
      </c>
      <c r="H90" t="s">
        <v>99</v>
      </c>
      <c r="I90" t="s">
        <v>120</v>
      </c>
      <c r="J90" t="s">
        <v>56</v>
      </c>
      <c r="K90">
        <v>6</v>
      </c>
      <c r="L90" s="3">
        <v>84300</v>
      </c>
      <c r="M90" s="3">
        <v>302400</v>
      </c>
      <c r="N90" s="3">
        <v>505800</v>
      </c>
      <c r="O90" s="4">
        <v>0</v>
      </c>
      <c r="P90" s="3">
        <v>0</v>
      </c>
      <c r="Q90" s="3">
        <v>505800</v>
      </c>
      <c r="R90" s="3">
        <v>203400</v>
      </c>
      <c r="S90" t="s">
        <v>67</v>
      </c>
      <c r="T90" t="s">
        <v>48</v>
      </c>
      <c r="U90" t="s">
        <v>49</v>
      </c>
      <c r="V90" s="5">
        <v>0.40213523131672602</v>
      </c>
    </row>
    <row r="91" spans="1:22" x14ac:dyDescent="0.35">
      <c r="A91" t="s">
        <v>337</v>
      </c>
      <c r="B91" s="2">
        <v>45725</v>
      </c>
      <c r="C91" t="s">
        <v>338</v>
      </c>
      <c r="D91" t="s">
        <v>339</v>
      </c>
      <c r="E91" t="s">
        <v>41</v>
      </c>
      <c r="F91" t="s">
        <v>42</v>
      </c>
      <c r="G91" t="s">
        <v>43</v>
      </c>
      <c r="H91" t="s">
        <v>44</v>
      </c>
      <c r="I91" t="s">
        <v>120</v>
      </c>
      <c r="J91" t="s">
        <v>56</v>
      </c>
      <c r="K91">
        <v>3</v>
      </c>
      <c r="L91" s="3">
        <v>91000</v>
      </c>
      <c r="M91" s="3">
        <v>154800</v>
      </c>
      <c r="N91" s="3">
        <v>273000</v>
      </c>
      <c r="O91" s="4">
        <v>0</v>
      </c>
      <c r="P91" s="3">
        <v>0</v>
      </c>
      <c r="Q91" s="3">
        <v>273000</v>
      </c>
      <c r="R91" s="3">
        <v>118200</v>
      </c>
      <c r="S91" t="s">
        <v>47</v>
      </c>
      <c r="T91" t="s">
        <v>48</v>
      </c>
      <c r="U91" t="s">
        <v>49</v>
      </c>
      <c r="V91" s="5">
        <v>0.43296703296703298</v>
      </c>
    </row>
    <row r="92" spans="1:22" x14ac:dyDescent="0.35">
      <c r="A92" t="s">
        <v>340</v>
      </c>
      <c r="B92" s="2">
        <v>45727</v>
      </c>
      <c r="C92" t="s">
        <v>341</v>
      </c>
      <c r="D92" t="s">
        <v>106</v>
      </c>
      <c r="E92" t="s">
        <v>61</v>
      </c>
      <c r="F92" t="s">
        <v>168</v>
      </c>
      <c r="G92" t="s">
        <v>169</v>
      </c>
      <c r="H92" t="s">
        <v>74</v>
      </c>
      <c r="I92" t="s">
        <v>120</v>
      </c>
      <c r="J92" t="s">
        <v>56</v>
      </c>
      <c r="K92">
        <v>2</v>
      </c>
      <c r="L92" s="3">
        <v>84200</v>
      </c>
      <c r="M92" s="3">
        <v>100000</v>
      </c>
      <c r="N92" s="3">
        <v>168400</v>
      </c>
      <c r="O92" s="4">
        <v>0</v>
      </c>
      <c r="P92" s="3">
        <v>0</v>
      </c>
      <c r="Q92" s="3">
        <v>168400</v>
      </c>
      <c r="R92" s="3">
        <v>68400</v>
      </c>
      <c r="S92" t="s">
        <v>67</v>
      </c>
      <c r="T92" t="s">
        <v>48</v>
      </c>
      <c r="U92" t="s">
        <v>49</v>
      </c>
      <c r="V92" s="5">
        <v>0.40617577197149651</v>
      </c>
    </row>
    <row r="93" spans="1:22" x14ac:dyDescent="0.35">
      <c r="A93" t="s">
        <v>342</v>
      </c>
      <c r="B93" s="2">
        <v>45728</v>
      </c>
      <c r="C93" t="s">
        <v>343</v>
      </c>
      <c r="D93" t="s">
        <v>344</v>
      </c>
      <c r="E93" t="s">
        <v>61</v>
      </c>
      <c r="F93" t="s">
        <v>42</v>
      </c>
      <c r="G93" t="s">
        <v>43</v>
      </c>
      <c r="H93" t="s">
        <v>44</v>
      </c>
      <c r="I93" t="s">
        <v>45</v>
      </c>
      <c r="J93" t="s">
        <v>46</v>
      </c>
      <c r="K93">
        <v>6</v>
      </c>
      <c r="L93" s="3">
        <v>397600</v>
      </c>
      <c r="M93" s="3">
        <v>1959000</v>
      </c>
      <c r="N93" s="3">
        <v>2385600</v>
      </c>
      <c r="O93" s="4">
        <v>0</v>
      </c>
      <c r="P93" s="3">
        <v>0</v>
      </c>
      <c r="Q93" s="3">
        <v>2385600</v>
      </c>
      <c r="R93" s="3">
        <v>426600</v>
      </c>
      <c r="S93" t="s">
        <v>121</v>
      </c>
      <c r="T93" t="s">
        <v>48</v>
      </c>
      <c r="U93" t="s">
        <v>49</v>
      </c>
      <c r="V93" s="5">
        <v>0.17882293762575449</v>
      </c>
    </row>
    <row r="94" spans="1:22" x14ac:dyDescent="0.35">
      <c r="A94" t="s">
        <v>345</v>
      </c>
      <c r="B94" s="2">
        <v>45728</v>
      </c>
      <c r="C94" t="s">
        <v>346</v>
      </c>
      <c r="D94" t="s">
        <v>347</v>
      </c>
      <c r="E94" t="s">
        <v>41</v>
      </c>
      <c r="F94" t="s">
        <v>42</v>
      </c>
      <c r="G94" t="s">
        <v>43</v>
      </c>
      <c r="H94" t="s">
        <v>44</v>
      </c>
      <c r="I94" t="s">
        <v>75</v>
      </c>
      <c r="J94" t="s">
        <v>56</v>
      </c>
      <c r="K94">
        <v>4</v>
      </c>
      <c r="L94" s="3">
        <v>61300</v>
      </c>
      <c r="M94" s="3">
        <v>170400</v>
      </c>
      <c r="N94" s="3">
        <v>245200</v>
      </c>
      <c r="O94" s="4">
        <v>0.05</v>
      </c>
      <c r="P94" s="3">
        <v>12260</v>
      </c>
      <c r="Q94" s="3">
        <v>232940</v>
      </c>
      <c r="R94" s="3">
        <v>62540</v>
      </c>
      <c r="S94" t="s">
        <v>57</v>
      </c>
      <c r="T94" t="s">
        <v>77</v>
      </c>
      <c r="U94" t="s">
        <v>49</v>
      </c>
      <c r="V94" s="5">
        <v>0.26848115394522187</v>
      </c>
    </row>
    <row r="95" spans="1:22" x14ac:dyDescent="0.35">
      <c r="A95" t="s">
        <v>348</v>
      </c>
      <c r="B95" s="2">
        <v>45728</v>
      </c>
      <c r="C95" t="s">
        <v>349</v>
      </c>
      <c r="D95" t="s">
        <v>350</v>
      </c>
      <c r="E95" t="s">
        <v>61</v>
      </c>
      <c r="F95" t="s">
        <v>111</v>
      </c>
      <c r="G95" t="s">
        <v>112</v>
      </c>
      <c r="H95" t="s">
        <v>74</v>
      </c>
      <c r="I95" t="s">
        <v>83</v>
      </c>
      <c r="J95" t="s">
        <v>56</v>
      </c>
      <c r="K95">
        <v>7</v>
      </c>
      <c r="L95" s="3">
        <v>45900</v>
      </c>
      <c r="M95" s="3">
        <v>198100</v>
      </c>
      <c r="N95" s="3">
        <v>321300</v>
      </c>
      <c r="O95" s="4">
        <v>0.02</v>
      </c>
      <c r="P95" s="3">
        <v>6426</v>
      </c>
      <c r="Q95" s="3">
        <v>314874</v>
      </c>
      <c r="R95" s="3">
        <v>116774</v>
      </c>
      <c r="S95" t="s">
        <v>67</v>
      </c>
      <c r="T95" t="s">
        <v>48</v>
      </c>
      <c r="U95" t="s">
        <v>49</v>
      </c>
      <c r="V95" s="5">
        <v>0.37085945489306832</v>
      </c>
    </row>
    <row r="96" spans="1:22" x14ac:dyDescent="0.35">
      <c r="A96" t="s">
        <v>351</v>
      </c>
      <c r="B96" s="2">
        <v>45728</v>
      </c>
      <c r="C96" t="s">
        <v>352</v>
      </c>
      <c r="D96" t="s">
        <v>353</v>
      </c>
      <c r="E96" t="s">
        <v>41</v>
      </c>
      <c r="F96" t="s">
        <v>53</v>
      </c>
      <c r="G96" t="s">
        <v>54</v>
      </c>
      <c r="H96" t="s">
        <v>44</v>
      </c>
      <c r="I96" t="s">
        <v>120</v>
      </c>
      <c r="J96" t="s">
        <v>56</v>
      </c>
      <c r="K96">
        <v>1</v>
      </c>
      <c r="L96" s="3">
        <v>91600</v>
      </c>
      <c r="M96" s="3">
        <v>51000</v>
      </c>
      <c r="N96" s="3">
        <v>91600</v>
      </c>
      <c r="O96" s="4">
        <v>0.02</v>
      </c>
      <c r="P96" s="3">
        <v>1832</v>
      </c>
      <c r="Q96" s="3">
        <v>89768</v>
      </c>
      <c r="R96" s="3">
        <v>38768</v>
      </c>
      <c r="S96" t="s">
        <v>67</v>
      </c>
      <c r="T96" t="s">
        <v>48</v>
      </c>
      <c r="U96" t="s">
        <v>68</v>
      </c>
      <c r="V96" s="5">
        <v>0.43186881739595401</v>
      </c>
    </row>
    <row r="97" spans="1:22" x14ac:dyDescent="0.35">
      <c r="A97" t="s">
        <v>354</v>
      </c>
      <c r="B97" s="2">
        <v>45728</v>
      </c>
      <c r="C97" t="s">
        <v>297</v>
      </c>
      <c r="D97" t="s">
        <v>355</v>
      </c>
      <c r="E97" t="s">
        <v>61</v>
      </c>
      <c r="F97" t="s">
        <v>195</v>
      </c>
      <c r="G97" t="s">
        <v>195</v>
      </c>
      <c r="H97" t="s">
        <v>196</v>
      </c>
      <c r="I97" t="s">
        <v>83</v>
      </c>
      <c r="J97" t="s">
        <v>56</v>
      </c>
      <c r="K97">
        <v>2</v>
      </c>
      <c r="L97" s="3">
        <v>46700</v>
      </c>
      <c r="M97" s="3">
        <v>54600</v>
      </c>
      <c r="N97" s="3">
        <v>93400</v>
      </c>
      <c r="O97" s="4">
        <v>0</v>
      </c>
      <c r="P97" s="3">
        <v>0</v>
      </c>
      <c r="Q97" s="3">
        <v>93400</v>
      </c>
      <c r="R97" s="3">
        <v>38800</v>
      </c>
      <c r="S97" t="s">
        <v>121</v>
      </c>
      <c r="T97" t="s">
        <v>107</v>
      </c>
      <c r="U97" t="s">
        <v>49</v>
      </c>
      <c r="V97" s="5">
        <v>0.41541755888650972</v>
      </c>
    </row>
    <row r="98" spans="1:22" x14ac:dyDescent="0.35">
      <c r="A98" t="s">
        <v>356</v>
      </c>
      <c r="B98" s="2">
        <v>45729</v>
      </c>
      <c r="C98" t="s">
        <v>203</v>
      </c>
      <c r="D98" t="s">
        <v>357</v>
      </c>
      <c r="E98" t="s">
        <v>41</v>
      </c>
      <c r="F98" t="s">
        <v>168</v>
      </c>
      <c r="G98" t="s">
        <v>169</v>
      </c>
      <c r="H98" t="s">
        <v>74</v>
      </c>
      <c r="I98" t="s">
        <v>75</v>
      </c>
      <c r="J98" t="s">
        <v>56</v>
      </c>
      <c r="K98">
        <v>3</v>
      </c>
      <c r="L98" s="3">
        <v>68800</v>
      </c>
      <c r="M98" s="3">
        <v>124500</v>
      </c>
      <c r="N98" s="3">
        <v>206400</v>
      </c>
      <c r="O98" s="4">
        <v>0.05</v>
      </c>
      <c r="P98" s="3">
        <v>10320</v>
      </c>
      <c r="Q98" s="3">
        <v>196080</v>
      </c>
      <c r="R98" s="3">
        <v>71580</v>
      </c>
      <c r="S98" t="s">
        <v>57</v>
      </c>
      <c r="T98" t="s">
        <v>107</v>
      </c>
      <c r="U98" t="s">
        <v>49</v>
      </c>
      <c r="V98" s="5">
        <v>0.3650550795593635</v>
      </c>
    </row>
    <row r="99" spans="1:22" x14ac:dyDescent="0.35">
      <c r="A99" t="s">
        <v>358</v>
      </c>
      <c r="B99" s="2">
        <v>45730</v>
      </c>
      <c r="C99" t="s">
        <v>359</v>
      </c>
      <c r="D99" t="s">
        <v>238</v>
      </c>
      <c r="E99" t="s">
        <v>41</v>
      </c>
      <c r="F99" t="s">
        <v>73</v>
      </c>
      <c r="G99" t="s">
        <v>73</v>
      </c>
      <c r="H99" t="s">
        <v>74</v>
      </c>
      <c r="I99" t="s">
        <v>113</v>
      </c>
      <c r="J99" t="s">
        <v>66</v>
      </c>
      <c r="K99">
        <v>6</v>
      </c>
      <c r="L99" s="3">
        <v>225300</v>
      </c>
      <c r="M99" s="3">
        <v>875400</v>
      </c>
      <c r="N99" s="3">
        <v>1351800</v>
      </c>
      <c r="O99" s="4">
        <v>0.05</v>
      </c>
      <c r="P99" s="3">
        <v>67590</v>
      </c>
      <c r="Q99" s="3">
        <v>1284210</v>
      </c>
      <c r="R99" s="3">
        <v>408810</v>
      </c>
      <c r="S99" t="s">
        <v>121</v>
      </c>
      <c r="T99" t="s">
        <v>77</v>
      </c>
      <c r="U99" t="s">
        <v>49</v>
      </c>
      <c r="V99" s="5">
        <v>0.31833578620319108</v>
      </c>
    </row>
    <row r="100" spans="1:22" x14ac:dyDescent="0.35">
      <c r="A100" t="s">
        <v>360</v>
      </c>
      <c r="B100" s="2">
        <v>45730</v>
      </c>
      <c r="C100" t="s">
        <v>361</v>
      </c>
      <c r="D100" t="s">
        <v>362</v>
      </c>
      <c r="E100" t="s">
        <v>61</v>
      </c>
      <c r="F100" t="s">
        <v>72</v>
      </c>
      <c r="G100" t="s">
        <v>73</v>
      </c>
      <c r="H100" t="s">
        <v>74</v>
      </c>
      <c r="I100" t="s">
        <v>90</v>
      </c>
      <c r="J100" t="s">
        <v>91</v>
      </c>
      <c r="K100">
        <v>6</v>
      </c>
      <c r="L100" s="3">
        <v>184100</v>
      </c>
      <c r="M100" s="3">
        <v>762000</v>
      </c>
      <c r="N100" s="3">
        <v>1104600</v>
      </c>
      <c r="O100" s="4">
        <v>0</v>
      </c>
      <c r="P100" s="3">
        <v>0</v>
      </c>
      <c r="Q100" s="3">
        <v>1104600</v>
      </c>
      <c r="R100" s="3">
        <v>342600</v>
      </c>
      <c r="S100" t="s">
        <v>67</v>
      </c>
      <c r="T100" t="s">
        <v>77</v>
      </c>
      <c r="U100" t="s">
        <v>49</v>
      </c>
      <c r="V100" s="5">
        <v>0.31015752308527972</v>
      </c>
    </row>
    <row r="101" spans="1:22" x14ac:dyDescent="0.35">
      <c r="A101" t="s">
        <v>363</v>
      </c>
      <c r="B101" s="2">
        <v>45730</v>
      </c>
      <c r="C101" t="s">
        <v>85</v>
      </c>
      <c r="D101" t="s">
        <v>364</v>
      </c>
      <c r="E101" t="s">
        <v>41</v>
      </c>
      <c r="F101" t="s">
        <v>168</v>
      </c>
      <c r="G101" t="s">
        <v>169</v>
      </c>
      <c r="H101" t="s">
        <v>74</v>
      </c>
      <c r="I101" t="s">
        <v>75</v>
      </c>
      <c r="J101" t="s">
        <v>56</v>
      </c>
      <c r="K101">
        <v>3</v>
      </c>
      <c r="L101" s="3">
        <v>60700</v>
      </c>
      <c r="M101" s="3">
        <v>129000</v>
      </c>
      <c r="N101" s="3">
        <v>182100</v>
      </c>
      <c r="O101" s="4">
        <v>0.08</v>
      </c>
      <c r="P101" s="3">
        <v>14568</v>
      </c>
      <c r="Q101" s="3">
        <v>167532</v>
      </c>
      <c r="R101" s="3">
        <v>38532</v>
      </c>
      <c r="S101" t="s">
        <v>121</v>
      </c>
      <c r="T101" t="s">
        <v>77</v>
      </c>
      <c r="U101" t="s">
        <v>49</v>
      </c>
      <c r="V101" s="5">
        <v>0.22999785115679389</v>
      </c>
    </row>
    <row r="102" spans="1:22" x14ac:dyDescent="0.35">
      <c r="A102" t="s">
        <v>365</v>
      </c>
      <c r="B102" s="2">
        <v>45730</v>
      </c>
      <c r="C102" t="s">
        <v>366</v>
      </c>
      <c r="D102" t="s">
        <v>262</v>
      </c>
      <c r="E102" t="s">
        <v>61</v>
      </c>
      <c r="F102" t="s">
        <v>73</v>
      </c>
      <c r="G102" t="s">
        <v>73</v>
      </c>
      <c r="H102" t="s">
        <v>74</v>
      </c>
      <c r="I102" t="s">
        <v>90</v>
      </c>
      <c r="J102" t="s">
        <v>91</v>
      </c>
      <c r="K102">
        <v>7</v>
      </c>
      <c r="L102" s="3">
        <v>186900</v>
      </c>
      <c r="M102" s="3">
        <v>876400</v>
      </c>
      <c r="N102" s="3">
        <v>1308300</v>
      </c>
      <c r="O102" s="4">
        <v>0</v>
      </c>
      <c r="P102" s="3">
        <v>0</v>
      </c>
      <c r="Q102" s="3">
        <v>1308300</v>
      </c>
      <c r="R102" s="3">
        <v>431900</v>
      </c>
      <c r="S102" t="s">
        <v>67</v>
      </c>
      <c r="T102" t="s">
        <v>107</v>
      </c>
      <c r="U102" t="s">
        <v>49</v>
      </c>
      <c r="V102" s="5">
        <v>0.33012306046013912</v>
      </c>
    </row>
    <row r="103" spans="1:22" x14ac:dyDescent="0.35">
      <c r="A103" t="s">
        <v>367</v>
      </c>
      <c r="B103" s="2">
        <v>45730</v>
      </c>
      <c r="C103" t="s">
        <v>368</v>
      </c>
      <c r="D103" t="s">
        <v>369</v>
      </c>
      <c r="E103" t="s">
        <v>61</v>
      </c>
      <c r="F103" t="s">
        <v>53</v>
      </c>
      <c r="G103" t="s">
        <v>54</v>
      </c>
      <c r="H103" t="s">
        <v>44</v>
      </c>
      <c r="I103" t="s">
        <v>83</v>
      </c>
      <c r="J103" t="s">
        <v>56</v>
      </c>
      <c r="K103">
        <v>7</v>
      </c>
      <c r="L103" s="3">
        <v>46300</v>
      </c>
      <c r="M103" s="3">
        <v>193900</v>
      </c>
      <c r="N103" s="3">
        <v>324100</v>
      </c>
      <c r="O103" s="4">
        <v>0.05</v>
      </c>
      <c r="P103" s="3">
        <v>16205</v>
      </c>
      <c r="Q103" s="3">
        <v>307895</v>
      </c>
      <c r="R103" s="3">
        <v>113995</v>
      </c>
      <c r="S103" t="s">
        <v>121</v>
      </c>
      <c r="T103" t="s">
        <v>77</v>
      </c>
      <c r="U103" t="s">
        <v>68</v>
      </c>
      <c r="V103" s="5">
        <v>0.37023985449585078</v>
      </c>
    </row>
    <row r="104" spans="1:22" x14ac:dyDescent="0.35">
      <c r="A104" t="s">
        <v>370</v>
      </c>
      <c r="B104" s="2">
        <v>45731</v>
      </c>
      <c r="C104" t="s">
        <v>371</v>
      </c>
      <c r="D104" t="s">
        <v>372</v>
      </c>
      <c r="E104" t="s">
        <v>41</v>
      </c>
      <c r="F104" t="s">
        <v>125</v>
      </c>
      <c r="G104" t="s">
        <v>126</v>
      </c>
      <c r="H104" t="s">
        <v>64</v>
      </c>
      <c r="I104" t="s">
        <v>90</v>
      </c>
      <c r="J104" t="s">
        <v>91</v>
      </c>
      <c r="K104">
        <v>3</v>
      </c>
      <c r="L104" s="3">
        <v>184300</v>
      </c>
      <c r="M104" s="3">
        <v>363600</v>
      </c>
      <c r="N104" s="3">
        <v>552900</v>
      </c>
      <c r="O104" s="4">
        <v>0.08</v>
      </c>
      <c r="P104" s="3">
        <v>44232</v>
      </c>
      <c r="Q104" s="3">
        <v>508668</v>
      </c>
      <c r="R104" s="3">
        <v>145068</v>
      </c>
      <c r="S104" t="s">
        <v>121</v>
      </c>
      <c r="T104" t="s">
        <v>48</v>
      </c>
      <c r="U104" t="s">
        <v>49</v>
      </c>
      <c r="V104" s="5">
        <v>0.2851919129962962</v>
      </c>
    </row>
    <row r="105" spans="1:22" x14ac:dyDescent="0.35">
      <c r="A105" t="s">
        <v>373</v>
      </c>
      <c r="B105" s="2">
        <v>45732</v>
      </c>
      <c r="C105" t="s">
        <v>281</v>
      </c>
      <c r="D105" t="s">
        <v>374</v>
      </c>
      <c r="E105" t="s">
        <v>61</v>
      </c>
      <c r="F105" t="s">
        <v>168</v>
      </c>
      <c r="G105" t="s">
        <v>169</v>
      </c>
      <c r="H105" t="s">
        <v>74</v>
      </c>
      <c r="I105" t="s">
        <v>83</v>
      </c>
      <c r="J105" t="s">
        <v>56</v>
      </c>
      <c r="K105">
        <v>4</v>
      </c>
      <c r="L105" s="3">
        <v>47100</v>
      </c>
      <c r="M105" s="3">
        <v>108400</v>
      </c>
      <c r="N105" s="3">
        <v>188400</v>
      </c>
      <c r="O105" s="4">
        <v>0</v>
      </c>
      <c r="P105" s="3">
        <v>0</v>
      </c>
      <c r="Q105" s="3">
        <v>188400</v>
      </c>
      <c r="R105" s="3">
        <v>80000</v>
      </c>
      <c r="S105" t="s">
        <v>121</v>
      </c>
      <c r="T105" t="s">
        <v>107</v>
      </c>
      <c r="U105" t="s">
        <v>49</v>
      </c>
      <c r="V105" s="5">
        <v>0.42462845010615707</v>
      </c>
    </row>
    <row r="106" spans="1:22" x14ac:dyDescent="0.35">
      <c r="A106" t="s">
        <v>375</v>
      </c>
      <c r="B106" s="2">
        <v>45732</v>
      </c>
      <c r="C106" t="s">
        <v>376</v>
      </c>
      <c r="D106" t="s">
        <v>377</v>
      </c>
      <c r="E106" t="s">
        <v>61</v>
      </c>
      <c r="F106" t="s">
        <v>53</v>
      </c>
      <c r="G106" t="s">
        <v>54</v>
      </c>
      <c r="H106" t="s">
        <v>44</v>
      </c>
      <c r="I106" t="s">
        <v>90</v>
      </c>
      <c r="J106" t="s">
        <v>91</v>
      </c>
      <c r="K106">
        <v>8</v>
      </c>
      <c r="L106" s="3">
        <v>178700</v>
      </c>
      <c r="M106" s="3">
        <v>1013600</v>
      </c>
      <c r="N106" s="3">
        <v>1429600</v>
      </c>
      <c r="O106" s="4">
        <v>0.05</v>
      </c>
      <c r="P106" s="3">
        <v>71480</v>
      </c>
      <c r="Q106" s="3">
        <v>1358120</v>
      </c>
      <c r="R106" s="3">
        <v>344520</v>
      </c>
      <c r="S106" t="s">
        <v>121</v>
      </c>
      <c r="T106" t="s">
        <v>107</v>
      </c>
      <c r="U106" t="s">
        <v>49</v>
      </c>
      <c r="V106" s="5">
        <v>0.25367419668365088</v>
      </c>
    </row>
    <row r="107" spans="1:22" x14ac:dyDescent="0.35">
      <c r="A107" t="s">
        <v>378</v>
      </c>
      <c r="B107" s="2">
        <v>45732</v>
      </c>
      <c r="C107" t="s">
        <v>379</v>
      </c>
      <c r="D107" t="s">
        <v>380</v>
      </c>
      <c r="E107" t="s">
        <v>61</v>
      </c>
      <c r="F107" t="s">
        <v>42</v>
      </c>
      <c r="G107" t="s">
        <v>43</v>
      </c>
      <c r="H107" t="s">
        <v>44</v>
      </c>
      <c r="I107" t="s">
        <v>45</v>
      </c>
      <c r="J107" t="s">
        <v>46</v>
      </c>
      <c r="K107">
        <v>2</v>
      </c>
      <c r="L107" s="3">
        <v>414300</v>
      </c>
      <c r="M107" s="3">
        <v>691800</v>
      </c>
      <c r="N107" s="3">
        <v>828600</v>
      </c>
      <c r="O107" s="4">
        <v>0</v>
      </c>
      <c r="P107" s="3">
        <v>0</v>
      </c>
      <c r="Q107" s="3">
        <v>828600</v>
      </c>
      <c r="R107" s="3">
        <v>136800</v>
      </c>
      <c r="S107" t="s">
        <v>121</v>
      </c>
      <c r="T107" t="s">
        <v>48</v>
      </c>
      <c r="U107" t="s">
        <v>49</v>
      </c>
      <c r="V107" s="5">
        <v>0.16509775524981901</v>
      </c>
    </row>
    <row r="108" spans="1:22" x14ac:dyDescent="0.35">
      <c r="A108" t="s">
        <v>381</v>
      </c>
      <c r="B108" s="2">
        <v>45732</v>
      </c>
      <c r="C108" t="s">
        <v>145</v>
      </c>
      <c r="D108" t="s">
        <v>382</v>
      </c>
      <c r="E108" t="s">
        <v>41</v>
      </c>
      <c r="F108" t="s">
        <v>200</v>
      </c>
      <c r="G108" t="s">
        <v>201</v>
      </c>
      <c r="H108" t="s">
        <v>99</v>
      </c>
      <c r="I108" t="s">
        <v>140</v>
      </c>
      <c r="J108" t="s">
        <v>46</v>
      </c>
      <c r="K108">
        <v>2</v>
      </c>
      <c r="L108" s="3">
        <v>284200</v>
      </c>
      <c r="M108" s="3">
        <v>438800</v>
      </c>
      <c r="N108" s="3">
        <v>568400</v>
      </c>
      <c r="O108" s="4">
        <v>0</v>
      </c>
      <c r="P108" s="3">
        <v>0</v>
      </c>
      <c r="Q108" s="3">
        <v>568400</v>
      </c>
      <c r="R108" s="3">
        <v>129600</v>
      </c>
      <c r="S108" t="s">
        <v>47</v>
      </c>
      <c r="T108" t="s">
        <v>107</v>
      </c>
      <c r="U108" t="s">
        <v>49</v>
      </c>
      <c r="V108" s="5">
        <v>0.22800844475721321</v>
      </c>
    </row>
    <row r="109" spans="1:22" x14ac:dyDescent="0.35">
      <c r="A109" t="s">
        <v>383</v>
      </c>
      <c r="B109" s="2">
        <v>45734</v>
      </c>
      <c r="C109" t="s">
        <v>384</v>
      </c>
      <c r="D109" t="s">
        <v>262</v>
      </c>
      <c r="E109" t="s">
        <v>41</v>
      </c>
      <c r="F109" t="s">
        <v>195</v>
      </c>
      <c r="G109" t="s">
        <v>195</v>
      </c>
      <c r="H109" t="s">
        <v>196</v>
      </c>
      <c r="I109" t="s">
        <v>156</v>
      </c>
      <c r="J109" t="s">
        <v>91</v>
      </c>
      <c r="K109">
        <v>3</v>
      </c>
      <c r="L109" s="3">
        <v>243100</v>
      </c>
      <c r="M109" s="3">
        <v>478800</v>
      </c>
      <c r="N109" s="3">
        <v>729300</v>
      </c>
      <c r="O109" s="4">
        <v>0.05</v>
      </c>
      <c r="P109" s="3">
        <v>36465</v>
      </c>
      <c r="Q109" s="3">
        <v>692835</v>
      </c>
      <c r="R109" s="3">
        <v>214035</v>
      </c>
      <c r="S109" t="s">
        <v>47</v>
      </c>
      <c r="T109" t="s">
        <v>48</v>
      </c>
      <c r="U109" t="s">
        <v>49</v>
      </c>
      <c r="V109" s="5">
        <v>0.30892636774989718</v>
      </c>
    </row>
    <row r="110" spans="1:22" x14ac:dyDescent="0.35">
      <c r="A110" t="s">
        <v>385</v>
      </c>
      <c r="B110" s="2">
        <v>45734</v>
      </c>
      <c r="C110" t="s">
        <v>315</v>
      </c>
      <c r="D110" t="s">
        <v>110</v>
      </c>
      <c r="E110" t="s">
        <v>41</v>
      </c>
      <c r="F110" t="s">
        <v>125</v>
      </c>
      <c r="G110" t="s">
        <v>126</v>
      </c>
      <c r="H110" t="s">
        <v>64</v>
      </c>
      <c r="I110" t="s">
        <v>45</v>
      </c>
      <c r="J110" t="s">
        <v>46</v>
      </c>
      <c r="K110">
        <v>7</v>
      </c>
      <c r="L110" s="3">
        <v>401900</v>
      </c>
      <c r="M110" s="3">
        <v>2289700</v>
      </c>
      <c r="N110" s="3">
        <v>2813300</v>
      </c>
      <c r="O110" s="4">
        <v>0.05</v>
      </c>
      <c r="P110" s="3">
        <v>140665</v>
      </c>
      <c r="Q110" s="3">
        <v>2672635</v>
      </c>
      <c r="R110" s="3">
        <v>382935</v>
      </c>
      <c r="S110" t="s">
        <v>121</v>
      </c>
      <c r="T110" t="s">
        <v>48</v>
      </c>
      <c r="U110" t="s">
        <v>49</v>
      </c>
      <c r="V110" s="5">
        <v>0.14327994656958401</v>
      </c>
    </row>
    <row r="111" spans="1:22" x14ac:dyDescent="0.35">
      <c r="A111" t="s">
        <v>386</v>
      </c>
      <c r="B111" s="2">
        <v>45734</v>
      </c>
      <c r="C111" t="s">
        <v>182</v>
      </c>
      <c r="D111" t="s">
        <v>387</v>
      </c>
      <c r="E111" t="s">
        <v>41</v>
      </c>
      <c r="F111" t="s">
        <v>200</v>
      </c>
      <c r="G111" t="s">
        <v>201</v>
      </c>
      <c r="H111" t="s">
        <v>99</v>
      </c>
      <c r="I111" t="s">
        <v>65</v>
      </c>
      <c r="J111" t="s">
        <v>66</v>
      </c>
      <c r="K111">
        <v>8</v>
      </c>
      <c r="L111" s="3">
        <v>152300</v>
      </c>
      <c r="M111" s="3">
        <v>896800</v>
      </c>
      <c r="N111" s="3">
        <v>1218400</v>
      </c>
      <c r="O111" s="4">
        <v>0.05</v>
      </c>
      <c r="P111" s="3">
        <v>60920</v>
      </c>
      <c r="Q111" s="3">
        <v>1157480</v>
      </c>
      <c r="R111" s="3">
        <v>260680</v>
      </c>
      <c r="S111" t="s">
        <v>76</v>
      </c>
      <c r="T111" t="s">
        <v>77</v>
      </c>
      <c r="U111" t="s">
        <v>49</v>
      </c>
      <c r="V111" s="5">
        <v>0.22521339461588971</v>
      </c>
    </row>
    <row r="112" spans="1:22" x14ac:dyDescent="0.35">
      <c r="A112" t="s">
        <v>388</v>
      </c>
      <c r="B112" s="2">
        <v>45735</v>
      </c>
      <c r="C112" t="s">
        <v>389</v>
      </c>
      <c r="D112" t="s">
        <v>251</v>
      </c>
      <c r="E112" t="s">
        <v>61</v>
      </c>
      <c r="F112" t="s">
        <v>168</v>
      </c>
      <c r="G112" t="s">
        <v>169</v>
      </c>
      <c r="H112" t="s">
        <v>74</v>
      </c>
      <c r="I112" t="s">
        <v>131</v>
      </c>
      <c r="J112" t="s">
        <v>91</v>
      </c>
      <c r="K112">
        <v>7</v>
      </c>
      <c r="L112" s="3">
        <v>120700</v>
      </c>
      <c r="M112" s="3">
        <v>564200</v>
      </c>
      <c r="N112" s="3">
        <v>844900</v>
      </c>
      <c r="O112" s="4">
        <v>0</v>
      </c>
      <c r="P112" s="3">
        <v>0</v>
      </c>
      <c r="Q112" s="3">
        <v>844900</v>
      </c>
      <c r="R112" s="3">
        <v>280700</v>
      </c>
      <c r="S112" t="s">
        <v>47</v>
      </c>
      <c r="T112" t="s">
        <v>48</v>
      </c>
      <c r="U112" t="s">
        <v>49</v>
      </c>
      <c r="V112" s="5">
        <v>0.33222866611433299</v>
      </c>
    </row>
    <row r="113" spans="1:22" x14ac:dyDescent="0.35">
      <c r="A113" t="s">
        <v>390</v>
      </c>
      <c r="B113" s="2">
        <v>45735</v>
      </c>
      <c r="C113" t="s">
        <v>185</v>
      </c>
      <c r="D113" t="s">
        <v>391</v>
      </c>
      <c r="E113" t="s">
        <v>41</v>
      </c>
      <c r="F113" t="s">
        <v>42</v>
      </c>
      <c r="G113" t="s">
        <v>43</v>
      </c>
      <c r="H113" t="s">
        <v>44</v>
      </c>
      <c r="I113" t="s">
        <v>131</v>
      </c>
      <c r="J113" t="s">
        <v>91</v>
      </c>
      <c r="K113">
        <v>5</v>
      </c>
      <c r="L113" s="3">
        <v>128900</v>
      </c>
      <c r="M113" s="3">
        <v>394000</v>
      </c>
      <c r="N113" s="3">
        <v>644500</v>
      </c>
      <c r="O113" s="4">
        <v>0.08</v>
      </c>
      <c r="P113" s="3">
        <v>51560</v>
      </c>
      <c r="Q113" s="3">
        <v>592940</v>
      </c>
      <c r="R113" s="3">
        <v>198940</v>
      </c>
      <c r="S113" t="s">
        <v>121</v>
      </c>
      <c r="T113" t="s">
        <v>107</v>
      </c>
      <c r="U113" t="s">
        <v>49</v>
      </c>
      <c r="V113" s="5">
        <v>0.33551455459237017</v>
      </c>
    </row>
    <row r="114" spans="1:22" x14ac:dyDescent="0.35">
      <c r="A114" t="s">
        <v>392</v>
      </c>
      <c r="B114" s="2">
        <v>45735</v>
      </c>
      <c r="C114" t="s">
        <v>237</v>
      </c>
      <c r="D114" t="s">
        <v>253</v>
      </c>
      <c r="E114" t="s">
        <v>41</v>
      </c>
      <c r="F114" t="s">
        <v>168</v>
      </c>
      <c r="G114" t="s">
        <v>169</v>
      </c>
      <c r="H114" t="s">
        <v>74</v>
      </c>
      <c r="I114" t="s">
        <v>131</v>
      </c>
      <c r="J114" t="s">
        <v>91</v>
      </c>
      <c r="K114">
        <v>3</v>
      </c>
      <c r="L114" s="3">
        <v>128400</v>
      </c>
      <c r="M114" s="3">
        <v>234000</v>
      </c>
      <c r="N114" s="3">
        <v>385200</v>
      </c>
      <c r="O114" s="4">
        <v>0.05</v>
      </c>
      <c r="P114" s="3">
        <v>19260</v>
      </c>
      <c r="Q114" s="3">
        <v>365940</v>
      </c>
      <c r="R114" s="3">
        <v>131940</v>
      </c>
      <c r="S114" t="s">
        <v>67</v>
      </c>
      <c r="T114" t="s">
        <v>48</v>
      </c>
      <c r="U114" t="s">
        <v>68</v>
      </c>
      <c r="V114" s="5">
        <v>0.36055090998524347</v>
      </c>
    </row>
    <row r="115" spans="1:22" x14ac:dyDescent="0.35">
      <c r="A115" t="s">
        <v>393</v>
      </c>
      <c r="B115" s="2">
        <v>45736</v>
      </c>
      <c r="C115" t="s">
        <v>394</v>
      </c>
      <c r="D115" t="s">
        <v>395</v>
      </c>
      <c r="E115" t="s">
        <v>41</v>
      </c>
      <c r="F115" t="s">
        <v>195</v>
      </c>
      <c r="G115" t="s">
        <v>195</v>
      </c>
      <c r="H115" t="s">
        <v>196</v>
      </c>
      <c r="I115" t="s">
        <v>45</v>
      </c>
      <c r="J115" t="s">
        <v>46</v>
      </c>
      <c r="K115">
        <v>8</v>
      </c>
      <c r="L115" s="3">
        <v>395800</v>
      </c>
      <c r="M115" s="3">
        <v>2704000</v>
      </c>
      <c r="N115" s="3">
        <v>3166400</v>
      </c>
      <c r="O115" s="4">
        <v>0</v>
      </c>
      <c r="P115" s="3">
        <v>0</v>
      </c>
      <c r="Q115" s="3">
        <v>3166400</v>
      </c>
      <c r="R115" s="3">
        <v>462400</v>
      </c>
      <c r="S115" t="s">
        <v>67</v>
      </c>
      <c r="T115" t="s">
        <v>48</v>
      </c>
      <c r="U115" t="s">
        <v>49</v>
      </c>
      <c r="V115" s="5">
        <v>0.14603335017685701</v>
      </c>
    </row>
    <row r="116" spans="1:22" x14ac:dyDescent="0.35">
      <c r="A116" t="s">
        <v>396</v>
      </c>
      <c r="B116" s="2">
        <v>45738</v>
      </c>
      <c r="C116" t="s">
        <v>185</v>
      </c>
      <c r="D116" t="s">
        <v>397</v>
      </c>
      <c r="E116" t="s">
        <v>41</v>
      </c>
      <c r="F116" t="s">
        <v>200</v>
      </c>
      <c r="G116" t="s">
        <v>201</v>
      </c>
      <c r="H116" t="s">
        <v>99</v>
      </c>
      <c r="I116" t="s">
        <v>75</v>
      </c>
      <c r="J116" t="s">
        <v>56</v>
      </c>
      <c r="K116">
        <v>2</v>
      </c>
      <c r="L116" s="3">
        <v>68800</v>
      </c>
      <c r="M116" s="3">
        <v>82200</v>
      </c>
      <c r="N116" s="3">
        <v>137600</v>
      </c>
      <c r="O116" s="4">
        <v>0.1</v>
      </c>
      <c r="P116" s="3">
        <v>13760</v>
      </c>
      <c r="Q116" s="3">
        <v>123840</v>
      </c>
      <c r="R116" s="3">
        <v>41640</v>
      </c>
      <c r="S116" t="s">
        <v>67</v>
      </c>
      <c r="T116" t="s">
        <v>77</v>
      </c>
      <c r="U116" t="s">
        <v>49</v>
      </c>
      <c r="V116" s="5">
        <v>0.33624031007751942</v>
      </c>
    </row>
    <row r="117" spans="1:22" x14ac:dyDescent="0.35">
      <c r="A117" t="s">
        <v>398</v>
      </c>
      <c r="B117" s="2">
        <v>45738</v>
      </c>
      <c r="C117" t="s">
        <v>399</v>
      </c>
      <c r="D117" t="s">
        <v>400</v>
      </c>
      <c r="E117" t="s">
        <v>41</v>
      </c>
      <c r="F117" t="s">
        <v>73</v>
      </c>
      <c r="G117" t="s">
        <v>73</v>
      </c>
      <c r="H117" t="s">
        <v>74</v>
      </c>
      <c r="I117" t="s">
        <v>156</v>
      </c>
      <c r="J117" t="s">
        <v>91</v>
      </c>
      <c r="K117">
        <v>7</v>
      </c>
      <c r="L117" s="3">
        <v>224100</v>
      </c>
      <c r="M117" s="3">
        <v>1197000</v>
      </c>
      <c r="N117" s="3">
        <v>1568700</v>
      </c>
      <c r="O117" s="4">
        <v>0.05</v>
      </c>
      <c r="P117" s="3">
        <v>78435</v>
      </c>
      <c r="Q117" s="3">
        <v>1490265</v>
      </c>
      <c r="R117" s="3">
        <v>293265</v>
      </c>
      <c r="S117" t="s">
        <v>67</v>
      </c>
      <c r="T117" t="s">
        <v>48</v>
      </c>
      <c r="U117" t="s">
        <v>49</v>
      </c>
      <c r="V117" s="5">
        <v>0.19678714859437749</v>
      </c>
    </row>
    <row r="118" spans="1:22" x14ac:dyDescent="0.35">
      <c r="A118" t="s">
        <v>401</v>
      </c>
      <c r="B118" s="2">
        <v>45741</v>
      </c>
      <c r="C118" t="s">
        <v>402</v>
      </c>
      <c r="D118" t="s">
        <v>403</v>
      </c>
      <c r="E118" t="s">
        <v>41</v>
      </c>
      <c r="F118" t="s">
        <v>200</v>
      </c>
      <c r="G118" t="s">
        <v>201</v>
      </c>
      <c r="H118" t="s">
        <v>99</v>
      </c>
      <c r="I118" t="s">
        <v>103</v>
      </c>
      <c r="J118" t="s">
        <v>46</v>
      </c>
      <c r="K118">
        <v>6</v>
      </c>
      <c r="L118" s="3">
        <v>608100</v>
      </c>
      <c r="M118" s="3">
        <v>3096000</v>
      </c>
      <c r="N118" s="3">
        <v>3648600</v>
      </c>
      <c r="O118" s="4">
        <v>0.02</v>
      </c>
      <c r="P118" s="3">
        <v>72972</v>
      </c>
      <c r="Q118" s="3">
        <v>3575628</v>
      </c>
      <c r="R118" s="3">
        <v>479628</v>
      </c>
      <c r="S118" t="s">
        <v>67</v>
      </c>
      <c r="T118" t="s">
        <v>48</v>
      </c>
      <c r="U118" t="s">
        <v>49</v>
      </c>
      <c r="V118" s="5">
        <v>0.13413811503881279</v>
      </c>
    </row>
    <row r="119" spans="1:22" x14ac:dyDescent="0.35">
      <c r="A119" t="s">
        <v>404</v>
      </c>
      <c r="B119" s="2">
        <v>45741</v>
      </c>
      <c r="C119" t="s">
        <v>405</v>
      </c>
      <c r="D119" t="s">
        <v>97</v>
      </c>
      <c r="E119" t="s">
        <v>61</v>
      </c>
      <c r="F119" t="s">
        <v>42</v>
      </c>
      <c r="G119" t="s">
        <v>43</v>
      </c>
      <c r="H119" t="s">
        <v>44</v>
      </c>
      <c r="I119" t="s">
        <v>75</v>
      </c>
      <c r="J119" t="s">
        <v>56</v>
      </c>
      <c r="K119">
        <v>1</v>
      </c>
      <c r="L119" s="3">
        <v>67900</v>
      </c>
      <c r="M119" s="3">
        <v>40500</v>
      </c>
      <c r="N119" s="3">
        <v>67900</v>
      </c>
      <c r="O119" s="4">
        <v>0.02</v>
      </c>
      <c r="P119" s="3">
        <v>1358</v>
      </c>
      <c r="Q119" s="3">
        <v>66542</v>
      </c>
      <c r="R119" s="3">
        <v>26042</v>
      </c>
      <c r="S119" t="s">
        <v>76</v>
      </c>
      <c r="T119" t="s">
        <v>48</v>
      </c>
      <c r="U119" t="s">
        <v>49</v>
      </c>
      <c r="V119" s="5">
        <v>0.39136184665324159</v>
      </c>
    </row>
    <row r="120" spans="1:22" x14ac:dyDescent="0.35">
      <c r="A120" t="s">
        <v>406</v>
      </c>
      <c r="B120" s="2">
        <v>45741</v>
      </c>
      <c r="C120" t="s">
        <v>407</v>
      </c>
      <c r="D120" t="s">
        <v>408</v>
      </c>
      <c r="E120" t="s">
        <v>61</v>
      </c>
      <c r="F120" t="s">
        <v>200</v>
      </c>
      <c r="G120" t="s">
        <v>201</v>
      </c>
      <c r="H120" t="s">
        <v>99</v>
      </c>
      <c r="I120" t="s">
        <v>131</v>
      </c>
      <c r="J120" t="s">
        <v>91</v>
      </c>
      <c r="K120">
        <v>7</v>
      </c>
      <c r="L120" s="3">
        <v>111600</v>
      </c>
      <c r="M120" s="3">
        <v>554400</v>
      </c>
      <c r="N120" s="3">
        <v>781200</v>
      </c>
      <c r="O120" s="4">
        <v>0.05</v>
      </c>
      <c r="P120" s="3">
        <v>39060</v>
      </c>
      <c r="Q120" s="3">
        <v>742140</v>
      </c>
      <c r="R120" s="3">
        <v>187740</v>
      </c>
      <c r="S120" t="s">
        <v>67</v>
      </c>
      <c r="T120" t="s">
        <v>48</v>
      </c>
      <c r="U120" t="s">
        <v>68</v>
      </c>
      <c r="V120" s="5">
        <v>0.25297113752122241</v>
      </c>
    </row>
    <row r="121" spans="1:22" x14ac:dyDescent="0.35">
      <c r="A121" t="s">
        <v>409</v>
      </c>
      <c r="B121" s="2">
        <v>45741</v>
      </c>
      <c r="C121" t="s">
        <v>410</v>
      </c>
      <c r="D121" t="s">
        <v>411</v>
      </c>
      <c r="E121" t="s">
        <v>61</v>
      </c>
      <c r="F121" t="s">
        <v>53</v>
      </c>
      <c r="G121" t="s">
        <v>54</v>
      </c>
      <c r="H121" t="s">
        <v>44</v>
      </c>
      <c r="I121" t="s">
        <v>45</v>
      </c>
      <c r="J121" t="s">
        <v>46</v>
      </c>
      <c r="K121">
        <v>4</v>
      </c>
      <c r="L121" s="3">
        <v>390100</v>
      </c>
      <c r="M121" s="3">
        <v>1387600</v>
      </c>
      <c r="N121" s="3">
        <v>1560400</v>
      </c>
      <c r="O121" s="4">
        <v>0</v>
      </c>
      <c r="P121" s="3">
        <v>0</v>
      </c>
      <c r="Q121" s="3">
        <v>1560400</v>
      </c>
      <c r="R121" s="3">
        <v>172800</v>
      </c>
      <c r="S121" t="s">
        <v>47</v>
      </c>
      <c r="T121" t="s">
        <v>48</v>
      </c>
      <c r="U121" t="s">
        <v>49</v>
      </c>
      <c r="V121" s="5">
        <v>0.11074083568315821</v>
      </c>
    </row>
    <row r="122" spans="1:22" x14ac:dyDescent="0.35">
      <c r="A122" t="s">
        <v>412</v>
      </c>
      <c r="B122" s="2">
        <v>45742</v>
      </c>
      <c r="C122" t="s">
        <v>413</v>
      </c>
      <c r="D122" t="s">
        <v>336</v>
      </c>
      <c r="E122" t="s">
        <v>61</v>
      </c>
      <c r="F122" t="s">
        <v>53</v>
      </c>
      <c r="G122" t="s">
        <v>54</v>
      </c>
      <c r="H122" t="s">
        <v>44</v>
      </c>
      <c r="I122" t="s">
        <v>83</v>
      </c>
      <c r="J122" t="s">
        <v>56</v>
      </c>
      <c r="K122">
        <v>8</v>
      </c>
      <c r="L122" s="3">
        <v>42700</v>
      </c>
      <c r="M122" s="3">
        <v>216800</v>
      </c>
      <c r="N122" s="3">
        <v>341600</v>
      </c>
      <c r="O122" s="4">
        <v>0</v>
      </c>
      <c r="P122" s="3">
        <v>0</v>
      </c>
      <c r="Q122" s="3">
        <v>341600</v>
      </c>
      <c r="R122" s="3">
        <v>124800</v>
      </c>
      <c r="S122" t="s">
        <v>57</v>
      </c>
      <c r="T122" t="s">
        <v>48</v>
      </c>
      <c r="U122" t="s">
        <v>49</v>
      </c>
      <c r="V122" s="5">
        <v>0.36533957845433263</v>
      </c>
    </row>
    <row r="123" spans="1:22" x14ac:dyDescent="0.35">
      <c r="A123" t="s">
        <v>414</v>
      </c>
      <c r="B123" s="2">
        <v>45743</v>
      </c>
      <c r="C123" t="s">
        <v>415</v>
      </c>
      <c r="D123" t="s">
        <v>416</v>
      </c>
      <c r="E123" t="s">
        <v>41</v>
      </c>
      <c r="F123" t="s">
        <v>125</v>
      </c>
      <c r="G123" t="s">
        <v>126</v>
      </c>
      <c r="H123" t="s">
        <v>64</v>
      </c>
      <c r="I123" t="s">
        <v>113</v>
      </c>
      <c r="J123" t="s">
        <v>66</v>
      </c>
      <c r="K123">
        <v>3</v>
      </c>
      <c r="L123" s="3">
        <v>206800</v>
      </c>
      <c r="M123" s="3">
        <v>432600</v>
      </c>
      <c r="N123" s="3">
        <v>620400</v>
      </c>
      <c r="O123" s="4">
        <v>0</v>
      </c>
      <c r="P123" s="3">
        <v>0</v>
      </c>
      <c r="Q123" s="3">
        <v>620400</v>
      </c>
      <c r="R123" s="3">
        <v>187800</v>
      </c>
      <c r="S123" t="s">
        <v>67</v>
      </c>
      <c r="T123" t="s">
        <v>48</v>
      </c>
      <c r="U123" t="s">
        <v>49</v>
      </c>
      <c r="V123" s="5">
        <v>0.30270793036750482</v>
      </c>
    </row>
    <row r="124" spans="1:22" x14ac:dyDescent="0.35">
      <c r="A124" t="s">
        <v>417</v>
      </c>
      <c r="B124" s="2">
        <v>45745</v>
      </c>
      <c r="C124" t="s">
        <v>418</v>
      </c>
      <c r="D124" t="s">
        <v>372</v>
      </c>
      <c r="E124" t="s">
        <v>41</v>
      </c>
      <c r="F124" t="s">
        <v>53</v>
      </c>
      <c r="G124" t="s">
        <v>54</v>
      </c>
      <c r="H124" t="s">
        <v>44</v>
      </c>
      <c r="I124" t="s">
        <v>75</v>
      </c>
      <c r="J124" t="s">
        <v>56</v>
      </c>
      <c r="K124">
        <v>8</v>
      </c>
      <c r="L124" s="3">
        <v>66000</v>
      </c>
      <c r="M124" s="3">
        <v>326400</v>
      </c>
      <c r="N124" s="3">
        <v>528000</v>
      </c>
      <c r="O124" s="4">
        <v>0</v>
      </c>
      <c r="P124" s="3">
        <v>0</v>
      </c>
      <c r="Q124" s="3">
        <v>528000</v>
      </c>
      <c r="R124" s="3">
        <v>201600</v>
      </c>
      <c r="S124" t="s">
        <v>47</v>
      </c>
      <c r="T124" t="s">
        <v>107</v>
      </c>
      <c r="U124" t="s">
        <v>49</v>
      </c>
      <c r="V124" s="5">
        <v>0.38181818181818178</v>
      </c>
    </row>
    <row r="125" spans="1:22" x14ac:dyDescent="0.35">
      <c r="A125" t="s">
        <v>419</v>
      </c>
      <c r="B125" s="2">
        <v>45746</v>
      </c>
      <c r="C125" t="s">
        <v>420</v>
      </c>
      <c r="D125" t="s">
        <v>421</v>
      </c>
      <c r="E125" t="s">
        <v>61</v>
      </c>
      <c r="F125" t="s">
        <v>62</v>
      </c>
      <c r="G125" t="s">
        <v>63</v>
      </c>
      <c r="H125" t="s">
        <v>64</v>
      </c>
      <c r="I125" t="s">
        <v>90</v>
      </c>
      <c r="J125" t="s">
        <v>91</v>
      </c>
      <c r="K125">
        <v>1</v>
      </c>
      <c r="L125" s="3">
        <v>190100</v>
      </c>
      <c r="M125" s="3">
        <v>120400</v>
      </c>
      <c r="N125" s="3">
        <v>190100</v>
      </c>
      <c r="O125" s="4">
        <v>0.05</v>
      </c>
      <c r="P125" s="3">
        <v>9505</v>
      </c>
      <c r="Q125" s="3">
        <v>180595</v>
      </c>
      <c r="R125" s="3">
        <v>60195</v>
      </c>
      <c r="S125" t="s">
        <v>47</v>
      </c>
      <c r="T125" t="s">
        <v>77</v>
      </c>
      <c r="U125" t="s">
        <v>49</v>
      </c>
      <c r="V125" s="5">
        <v>0.33331487582712699</v>
      </c>
    </row>
    <row r="126" spans="1:22" x14ac:dyDescent="0.35">
      <c r="A126" t="s">
        <v>422</v>
      </c>
      <c r="B126" s="2">
        <v>45747</v>
      </c>
      <c r="C126" t="s">
        <v>423</v>
      </c>
      <c r="D126" t="s">
        <v>86</v>
      </c>
      <c r="E126" t="s">
        <v>61</v>
      </c>
      <c r="F126" t="s">
        <v>195</v>
      </c>
      <c r="G126" t="s">
        <v>195</v>
      </c>
      <c r="H126" t="s">
        <v>196</v>
      </c>
      <c r="I126" t="s">
        <v>45</v>
      </c>
      <c r="J126" t="s">
        <v>46</v>
      </c>
      <c r="K126">
        <v>7</v>
      </c>
      <c r="L126" s="3">
        <v>411800</v>
      </c>
      <c r="M126" s="3">
        <v>2258200</v>
      </c>
      <c r="N126" s="3">
        <v>2882600</v>
      </c>
      <c r="O126" s="4">
        <v>0.05</v>
      </c>
      <c r="P126" s="3">
        <v>144130</v>
      </c>
      <c r="Q126" s="3">
        <v>2738470</v>
      </c>
      <c r="R126" s="3">
        <v>480270</v>
      </c>
      <c r="S126" t="s">
        <v>67</v>
      </c>
      <c r="T126" t="s">
        <v>77</v>
      </c>
      <c r="U126" t="s">
        <v>49</v>
      </c>
      <c r="V126" s="5">
        <v>0.17537895248076479</v>
      </c>
    </row>
    <row r="127" spans="1:22" x14ac:dyDescent="0.35">
      <c r="A127" t="s">
        <v>424</v>
      </c>
      <c r="B127" s="2">
        <v>45747</v>
      </c>
      <c r="C127" t="s">
        <v>425</v>
      </c>
      <c r="D127" t="s">
        <v>426</v>
      </c>
      <c r="E127" t="s">
        <v>41</v>
      </c>
      <c r="F127" t="s">
        <v>98</v>
      </c>
      <c r="G127" t="s">
        <v>98</v>
      </c>
      <c r="H127" t="s">
        <v>99</v>
      </c>
      <c r="I127" t="s">
        <v>55</v>
      </c>
      <c r="J127" t="s">
        <v>56</v>
      </c>
      <c r="K127">
        <v>6</v>
      </c>
      <c r="L127" s="3">
        <v>34800</v>
      </c>
      <c r="M127" s="3">
        <v>127200</v>
      </c>
      <c r="N127" s="3">
        <v>208800</v>
      </c>
      <c r="O127" s="4">
        <v>0</v>
      </c>
      <c r="P127" s="3">
        <v>0</v>
      </c>
      <c r="Q127" s="3">
        <v>208800</v>
      </c>
      <c r="R127" s="3">
        <v>81600</v>
      </c>
      <c r="S127" t="s">
        <v>57</v>
      </c>
      <c r="T127" t="s">
        <v>77</v>
      </c>
      <c r="U127" t="s">
        <v>49</v>
      </c>
      <c r="V127" s="5">
        <v>0.39080459770114939</v>
      </c>
    </row>
    <row r="128" spans="1:22" x14ac:dyDescent="0.35">
      <c r="A128" t="s">
        <v>427</v>
      </c>
      <c r="B128" s="2">
        <v>45747</v>
      </c>
      <c r="C128" t="s">
        <v>206</v>
      </c>
      <c r="D128" t="s">
        <v>428</v>
      </c>
      <c r="E128" t="s">
        <v>61</v>
      </c>
      <c r="F128" t="s">
        <v>62</v>
      </c>
      <c r="G128" t="s">
        <v>63</v>
      </c>
      <c r="H128" t="s">
        <v>64</v>
      </c>
      <c r="I128" t="s">
        <v>45</v>
      </c>
      <c r="J128" t="s">
        <v>46</v>
      </c>
      <c r="K128">
        <v>1</v>
      </c>
      <c r="L128" s="3">
        <v>386900</v>
      </c>
      <c r="M128" s="3">
        <v>327500</v>
      </c>
      <c r="N128" s="3">
        <v>386900</v>
      </c>
      <c r="O128" s="4">
        <v>0</v>
      </c>
      <c r="P128" s="3">
        <v>0</v>
      </c>
      <c r="Q128" s="3">
        <v>386900</v>
      </c>
      <c r="R128" s="3">
        <v>59400</v>
      </c>
      <c r="S128" t="s">
        <v>57</v>
      </c>
      <c r="T128" t="s">
        <v>48</v>
      </c>
      <c r="U128" t="s">
        <v>49</v>
      </c>
      <c r="V128" s="5">
        <v>0.15352804342207291</v>
      </c>
    </row>
    <row r="129" spans="1:22" x14ac:dyDescent="0.35">
      <c r="A129" t="s">
        <v>429</v>
      </c>
      <c r="B129" s="2">
        <v>45747</v>
      </c>
      <c r="C129" t="s">
        <v>158</v>
      </c>
      <c r="D129" t="s">
        <v>94</v>
      </c>
      <c r="E129" t="s">
        <v>41</v>
      </c>
      <c r="F129" t="s">
        <v>53</v>
      </c>
      <c r="G129" t="s">
        <v>54</v>
      </c>
      <c r="H129" t="s">
        <v>44</v>
      </c>
      <c r="I129" t="s">
        <v>45</v>
      </c>
      <c r="J129" t="s">
        <v>46</v>
      </c>
      <c r="K129">
        <v>1</v>
      </c>
      <c r="L129" s="3">
        <v>401300</v>
      </c>
      <c r="M129" s="3">
        <v>330100</v>
      </c>
      <c r="N129" s="3">
        <v>401300</v>
      </c>
      <c r="O129" s="4">
        <v>0</v>
      </c>
      <c r="P129" s="3">
        <v>0</v>
      </c>
      <c r="Q129" s="3">
        <v>401300</v>
      </c>
      <c r="R129" s="3">
        <v>71200</v>
      </c>
      <c r="S129" t="s">
        <v>47</v>
      </c>
      <c r="T129" t="s">
        <v>48</v>
      </c>
      <c r="U129" t="s">
        <v>49</v>
      </c>
      <c r="V129" s="5">
        <v>0.17742337403438821</v>
      </c>
    </row>
    <row r="130" spans="1:22" x14ac:dyDescent="0.35">
      <c r="A130" t="s">
        <v>430</v>
      </c>
      <c r="B130" s="2">
        <v>45749</v>
      </c>
      <c r="C130" t="s">
        <v>334</v>
      </c>
      <c r="D130" t="s">
        <v>431</v>
      </c>
      <c r="E130" t="s">
        <v>41</v>
      </c>
      <c r="F130" t="s">
        <v>53</v>
      </c>
      <c r="G130" t="s">
        <v>54</v>
      </c>
      <c r="H130" t="s">
        <v>44</v>
      </c>
      <c r="I130" t="s">
        <v>113</v>
      </c>
      <c r="J130" t="s">
        <v>66</v>
      </c>
      <c r="K130">
        <v>5</v>
      </c>
      <c r="L130" s="3">
        <v>225900</v>
      </c>
      <c r="M130" s="3">
        <v>756000</v>
      </c>
      <c r="N130" s="3">
        <v>1129500</v>
      </c>
      <c r="O130" s="4">
        <v>0</v>
      </c>
      <c r="P130" s="3">
        <v>0</v>
      </c>
      <c r="Q130" s="3">
        <v>1129500</v>
      </c>
      <c r="R130" s="3">
        <v>373500</v>
      </c>
      <c r="S130" t="s">
        <v>67</v>
      </c>
      <c r="T130" t="s">
        <v>107</v>
      </c>
      <c r="U130" t="s">
        <v>49</v>
      </c>
      <c r="V130" s="5">
        <v>0.33067729083665343</v>
      </c>
    </row>
    <row r="131" spans="1:22" x14ac:dyDescent="0.35">
      <c r="A131" t="s">
        <v>432</v>
      </c>
      <c r="B131" s="2">
        <v>45749</v>
      </c>
      <c r="C131" t="s">
        <v>433</v>
      </c>
      <c r="D131" t="s">
        <v>434</v>
      </c>
      <c r="E131" t="s">
        <v>61</v>
      </c>
      <c r="F131" t="s">
        <v>125</v>
      </c>
      <c r="G131" t="s">
        <v>126</v>
      </c>
      <c r="H131" t="s">
        <v>64</v>
      </c>
      <c r="I131" t="s">
        <v>83</v>
      </c>
      <c r="J131" t="s">
        <v>56</v>
      </c>
      <c r="K131">
        <v>7</v>
      </c>
      <c r="L131" s="3">
        <v>46800</v>
      </c>
      <c r="M131" s="3">
        <v>202300</v>
      </c>
      <c r="N131" s="3">
        <v>327600</v>
      </c>
      <c r="O131" s="4">
        <v>0</v>
      </c>
      <c r="P131" s="3">
        <v>0</v>
      </c>
      <c r="Q131" s="3">
        <v>327600</v>
      </c>
      <c r="R131" s="3">
        <v>125300</v>
      </c>
      <c r="S131" t="s">
        <v>57</v>
      </c>
      <c r="T131" t="s">
        <v>48</v>
      </c>
      <c r="U131" t="s">
        <v>49</v>
      </c>
      <c r="V131" s="5">
        <v>0.38247863247863251</v>
      </c>
    </row>
    <row r="132" spans="1:22" x14ac:dyDescent="0.35">
      <c r="A132" t="s">
        <v>435</v>
      </c>
      <c r="B132" s="2">
        <v>45750</v>
      </c>
      <c r="C132" t="s">
        <v>198</v>
      </c>
      <c r="D132" t="s">
        <v>436</v>
      </c>
      <c r="E132" t="s">
        <v>61</v>
      </c>
      <c r="F132" t="s">
        <v>73</v>
      </c>
      <c r="G132" t="s">
        <v>73</v>
      </c>
      <c r="H132" t="s">
        <v>74</v>
      </c>
      <c r="I132" t="s">
        <v>140</v>
      </c>
      <c r="J132" t="s">
        <v>46</v>
      </c>
      <c r="K132">
        <v>5</v>
      </c>
      <c r="L132" s="3">
        <v>278800</v>
      </c>
      <c r="M132" s="3">
        <v>1036000</v>
      </c>
      <c r="N132" s="3">
        <v>1394000</v>
      </c>
      <c r="O132" s="4">
        <v>0</v>
      </c>
      <c r="P132" s="3">
        <v>0</v>
      </c>
      <c r="Q132" s="3">
        <v>1394000</v>
      </c>
      <c r="R132" s="3">
        <v>358000</v>
      </c>
      <c r="S132" t="s">
        <v>121</v>
      </c>
      <c r="T132" t="s">
        <v>48</v>
      </c>
      <c r="U132" t="s">
        <v>49</v>
      </c>
      <c r="V132" s="5">
        <v>0.25681492109038739</v>
      </c>
    </row>
    <row r="133" spans="1:22" x14ac:dyDescent="0.35">
      <c r="A133" t="s">
        <v>437</v>
      </c>
      <c r="B133" s="2">
        <v>45751</v>
      </c>
      <c r="C133" t="s">
        <v>142</v>
      </c>
      <c r="D133" t="s">
        <v>438</v>
      </c>
      <c r="E133" t="s">
        <v>41</v>
      </c>
      <c r="F133" t="s">
        <v>200</v>
      </c>
      <c r="G133" t="s">
        <v>201</v>
      </c>
      <c r="H133" t="s">
        <v>99</v>
      </c>
      <c r="I133" t="s">
        <v>103</v>
      </c>
      <c r="J133" t="s">
        <v>46</v>
      </c>
      <c r="K133">
        <v>4</v>
      </c>
      <c r="L133" s="3">
        <v>610800</v>
      </c>
      <c r="M133" s="3">
        <v>2048000</v>
      </c>
      <c r="N133" s="3">
        <v>2443200</v>
      </c>
      <c r="O133" s="4">
        <v>0.08</v>
      </c>
      <c r="P133" s="3">
        <v>195456</v>
      </c>
      <c r="Q133" s="3">
        <v>2247744</v>
      </c>
      <c r="R133" s="3">
        <v>199744</v>
      </c>
      <c r="S133" t="s">
        <v>121</v>
      </c>
      <c r="T133" t="s">
        <v>48</v>
      </c>
      <c r="U133" t="s">
        <v>49</v>
      </c>
      <c r="V133" s="5">
        <v>8.8864212294638534E-2</v>
      </c>
    </row>
    <row r="134" spans="1:22" x14ac:dyDescent="0.35">
      <c r="A134" t="s">
        <v>439</v>
      </c>
      <c r="B134" s="2">
        <v>45752</v>
      </c>
      <c r="C134" t="s">
        <v>440</v>
      </c>
      <c r="D134" t="s">
        <v>441</v>
      </c>
      <c r="E134" t="s">
        <v>61</v>
      </c>
      <c r="F134" t="s">
        <v>53</v>
      </c>
      <c r="G134" t="s">
        <v>54</v>
      </c>
      <c r="H134" t="s">
        <v>44</v>
      </c>
      <c r="I134" t="s">
        <v>83</v>
      </c>
      <c r="J134" t="s">
        <v>56</v>
      </c>
      <c r="K134">
        <v>3</v>
      </c>
      <c r="L134" s="3">
        <v>43100</v>
      </c>
      <c r="M134" s="3">
        <v>81000</v>
      </c>
      <c r="N134" s="3">
        <v>129300</v>
      </c>
      <c r="O134" s="4">
        <v>0</v>
      </c>
      <c r="P134" s="3">
        <v>0</v>
      </c>
      <c r="Q134" s="3">
        <v>129300</v>
      </c>
      <c r="R134" s="3">
        <v>48300</v>
      </c>
      <c r="S134" t="s">
        <v>121</v>
      </c>
      <c r="T134" t="s">
        <v>48</v>
      </c>
      <c r="U134" t="s">
        <v>49</v>
      </c>
      <c r="V134" s="5">
        <v>0.37354988399071931</v>
      </c>
    </row>
    <row r="135" spans="1:22" x14ac:dyDescent="0.35">
      <c r="A135" t="s">
        <v>442</v>
      </c>
      <c r="B135" s="2">
        <v>45753</v>
      </c>
      <c r="C135" t="s">
        <v>443</v>
      </c>
      <c r="D135" t="s">
        <v>146</v>
      </c>
      <c r="E135" t="s">
        <v>61</v>
      </c>
      <c r="F135" t="s">
        <v>62</v>
      </c>
      <c r="G135" t="s">
        <v>63</v>
      </c>
      <c r="H135" t="s">
        <v>64</v>
      </c>
      <c r="I135" t="s">
        <v>103</v>
      </c>
      <c r="J135" t="s">
        <v>46</v>
      </c>
      <c r="K135">
        <v>5</v>
      </c>
      <c r="L135" s="3">
        <v>690200</v>
      </c>
      <c r="M135" s="3">
        <v>2550500</v>
      </c>
      <c r="N135" s="3">
        <v>3451000</v>
      </c>
      <c r="O135" s="4">
        <v>0</v>
      </c>
      <c r="P135" s="3">
        <v>0</v>
      </c>
      <c r="Q135" s="3">
        <v>3451000</v>
      </c>
      <c r="R135" s="3">
        <v>900500</v>
      </c>
      <c r="S135" t="s">
        <v>47</v>
      </c>
      <c r="T135" t="s">
        <v>77</v>
      </c>
      <c r="U135" t="s">
        <v>68</v>
      </c>
      <c r="V135" s="5">
        <v>0.26093885830194152</v>
      </c>
    </row>
    <row r="136" spans="1:22" x14ac:dyDescent="0.35">
      <c r="A136" t="s">
        <v>444</v>
      </c>
      <c r="B136" s="2">
        <v>45753</v>
      </c>
      <c r="C136" t="s">
        <v>445</v>
      </c>
      <c r="D136" t="s">
        <v>431</v>
      </c>
      <c r="E136" t="s">
        <v>61</v>
      </c>
      <c r="F136" t="s">
        <v>200</v>
      </c>
      <c r="G136" t="s">
        <v>201</v>
      </c>
      <c r="H136" t="s">
        <v>99</v>
      </c>
      <c r="I136" t="s">
        <v>65</v>
      </c>
      <c r="J136" t="s">
        <v>66</v>
      </c>
      <c r="K136">
        <v>3</v>
      </c>
      <c r="L136" s="3">
        <v>156700</v>
      </c>
      <c r="M136" s="3">
        <v>347700</v>
      </c>
      <c r="N136" s="3">
        <v>470100</v>
      </c>
      <c r="O136" s="4">
        <v>0.05</v>
      </c>
      <c r="P136" s="3">
        <v>23505</v>
      </c>
      <c r="Q136" s="3">
        <v>446595</v>
      </c>
      <c r="R136" s="3">
        <v>98895</v>
      </c>
      <c r="S136" t="s">
        <v>47</v>
      </c>
      <c r="T136" t="s">
        <v>107</v>
      </c>
      <c r="U136" t="s">
        <v>49</v>
      </c>
      <c r="V136" s="5">
        <v>0.221442246330568</v>
      </c>
    </row>
    <row r="137" spans="1:22" x14ac:dyDescent="0.35">
      <c r="A137" t="s">
        <v>446</v>
      </c>
      <c r="B137" s="2">
        <v>45754</v>
      </c>
      <c r="C137" t="s">
        <v>447</v>
      </c>
      <c r="D137" t="s">
        <v>448</v>
      </c>
      <c r="E137" t="s">
        <v>41</v>
      </c>
      <c r="F137" t="s">
        <v>111</v>
      </c>
      <c r="G137" t="s">
        <v>112</v>
      </c>
      <c r="H137" t="s">
        <v>74</v>
      </c>
      <c r="I137" t="s">
        <v>90</v>
      </c>
      <c r="J137" t="s">
        <v>91</v>
      </c>
      <c r="K137">
        <v>7</v>
      </c>
      <c r="L137" s="3">
        <v>194300</v>
      </c>
      <c r="M137" s="3">
        <v>858200</v>
      </c>
      <c r="N137" s="3">
        <v>1360100</v>
      </c>
      <c r="O137" s="4">
        <v>0</v>
      </c>
      <c r="P137" s="3">
        <v>0</v>
      </c>
      <c r="Q137" s="3">
        <v>1360100</v>
      </c>
      <c r="R137" s="3">
        <v>501900</v>
      </c>
      <c r="S137" t="s">
        <v>57</v>
      </c>
      <c r="T137" t="s">
        <v>107</v>
      </c>
      <c r="U137" t="s">
        <v>68</v>
      </c>
      <c r="V137" s="5">
        <v>0.36901698404529082</v>
      </c>
    </row>
    <row r="138" spans="1:22" x14ac:dyDescent="0.35">
      <c r="A138" t="s">
        <v>449</v>
      </c>
      <c r="B138" s="2">
        <v>45755</v>
      </c>
      <c r="C138" t="s">
        <v>158</v>
      </c>
      <c r="D138" t="s">
        <v>336</v>
      </c>
      <c r="E138" t="s">
        <v>41</v>
      </c>
      <c r="F138" t="s">
        <v>73</v>
      </c>
      <c r="G138" t="s">
        <v>73</v>
      </c>
      <c r="H138" t="s">
        <v>74</v>
      </c>
      <c r="I138" t="s">
        <v>103</v>
      </c>
      <c r="J138" t="s">
        <v>46</v>
      </c>
      <c r="K138">
        <v>1</v>
      </c>
      <c r="L138" s="3">
        <v>643600</v>
      </c>
      <c r="M138" s="3">
        <v>534100</v>
      </c>
      <c r="N138" s="3">
        <v>643600</v>
      </c>
      <c r="O138" s="4">
        <v>0</v>
      </c>
      <c r="P138" s="3">
        <v>0</v>
      </c>
      <c r="Q138" s="3">
        <v>643600</v>
      </c>
      <c r="R138" s="3">
        <v>109500</v>
      </c>
      <c r="S138" t="s">
        <v>76</v>
      </c>
      <c r="T138" t="s">
        <v>107</v>
      </c>
      <c r="U138" t="s">
        <v>49</v>
      </c>
      <c r="V138" s="5">
        <v>0.17013673088875081</v>
      </c>
    </row>
    <row r="139" spans="1:22" x14ac:dyDescent="0.35">
      <c r="A139" t="s">
        <v>450</v>
      </c>
      <c r="B139" s="2">
        <v>45756</v>
      </c>
      <c r="C139" t="s">
        <v>191</v>
      </c>
      <c r="D139" t="s">
        <v>204</v>
      </c>
      <c r="E139" t="s">
        <v>41</v>
      </c>
      <c r="F139" t="s">
        <v>98</v>
      </c>
      <c r="G139" t="s">
        <v>98</v>
      </c>
      <c r="H139" t="s">
        <v>99</v>
      </c>
      <c r="I139" t="s">
        <v>45</v>
      </c>
      <c r="J139" t="s">
        <v>46</v>
      </c>
      <c r="K139">
        <v>4</v>
      </c>
      <c r="L139" s="3">
        <v>446800</v>
      </c>
      <c r="M139" s="3">
        <v>1351600</v>
      </c>
      <c r="N139" s="3">
        <v>1787200</v>
      </c>
      <c r="O139" s="4">
        <v>0</v>
      </c>
      <c r="P139" s="3">
        <v>0</v>
      </c>
      <c r="Q139" s="3">
        <v>1787200</v>
      </c>
      <c r="R139" s="3">
        <v>435600</v>
      </c>
      <c r="S139" t="s">
        <v>121</v>
      </c>
      <c r="T139" t="s">
        <v>77</v>
      </c>
      <c r="U139" t="s">
        <v>49</v>
      </c>
      <c r="V139" s="5">
        <v>0.2437332139659803</v>
      </c>
    </row>
    <row r="140" spans="1:22" x14ac:dyDescent="0.35">
      <c r="A140" t="s">
        <v>451</v>
      </c>
      <c r="B140" s="2">
        <v>45756</v>
      </c>
      <c r="C140" t="s">
        <v>452</v>
      </c>
      <c r="D140" t="s">
        <v>453</v>
      </c>
      <c r="E140" t="s">
        <v>41</v>
      </c>
      <c r="F140" t="s">
        <v>73</v>
      </c>
      <c r="G140" t="s">
        <v>73</v>
      </c>
      <c r="H140" t="s">
        <v>74</v>
      </c>
      <c r="I140" t="s">
        <v>103</v>
      </c>
      <c r="J140" t="s">
        <v>46</v>
      </c>
      <c r="K140">
        <v>8</v>
      </c>
      <c r="L140" s="3">
        <v>616400</v>
      </c>
      <c r="M140" s="3">
        <v>4306400</v>
      </c>
      <c r="N140" s="3">
        <v>4931200</v>
      </c>
      <c r="O140" s="4">
        <v>0.1</v>
      </c>
      <c r="P140" s="3">
        <v>493120</v>
      </c>
      <c r="Q140" s="3">
        <v>4438080</v>
      </c>
      <c r="R140" s="3">
        <v>131680</v>
      </c>
      <c r="S140" t="s">
        <v>67</v>
      </c>
      <c r="T140" t="s">
        <v>107</v>
      </c>
      <c r="U140" t="s">
        <v>68</v>
      </c>
      <c r="V140" s="5">
        <v>2.9670488139015069E-2</v>
      </c>
    </row>
    <row r="141" spans="1:22" x14ac:dyDescent="0.35">
      <c r="A141" t="s">
        <v>454</v>
      </c>
      <c r="B141" s="2">
        <v>45756</v>
      </c>
      <c r="C141" t="s">
        <v>455</v>
      </c>
      <c r="D141" t="s">
        <v>456</v>
      </c>
      <c r="E141" t="s">
        <v>41</v>
      </c>
      <c r="F141" t="s">
        <v>53</v>
      </c>
      <c r="G141" t="s">
        <v>54</v>
      </c>
      <c r="H141" t="s">
        <v>44</v>
      </c>
      <c r="I141" t="s">
        <v>65</v>
      </c>
      <c r="J141" t="s">
        <v>66</v>
      </c>
      <c r="K141">
        <v>2</v>
      </c>
      <c r="L141" s="3">
        <v>147200</v>
      </c>
      <c r="M141" s="3">
        <v>217800</v>
      </c>
      <c r="N141" s="3">
        <v>294400</v>
      </c>
      <c r="O141" s="4">
        <v>0.02</v>
      </c>
      <c r="P141" s="3">
        <v>5888</v>
      </c>
      <c r="Q141" s="3">
        <v>288512</v>
      </c>
      <c r="R141" s="3">
        <v>70712</v>
      </c>
      <c r="S141" t="s">
        <v>76</v>
      </c>
      <c r="T141" t="s">
        <v>48</v>
      </c>
      <c r="U141" t="s">
        <v>68</v>
      </c>
      <c r="V141" s="5">
        <v>0.24509205856255539</v>
      </c>
    </row>
    <row r="142" spans="1:22" x14ac:dyDescent="0.35">
      <c r="A142" t="s">
        <v>457</v>
      </c>
      <c r="B142" s="2">
        <v>45757</v>
      </c>
      <c r="C142" t="s">
        <v>458</v>
      </c>
      <c r="D142" t="s">
        <v>459</v>
      </c>
      <c r="E142" t="s">
        <v>61</v>
      </c>
      <c r="F142" t="s">
        <v>111</v>
      </c>
      <c r="G142" t="s">
        <v>112</v>
      </c>
      <c r="H142" t="s">
        <v>74</v>
      </c>
      <c r="I142" t="s">
        <v>75</v>
      </c>
      <c r="J142" t="s">
        <v>56</v>
      </c>
      <c r="K142">
        <v>5</v>
      </c>
      <c r="L142" s="3">
        <v>64600</v>
      </c>
      <c r="M142" s="3">
        <v>215500</v>
      </c>
      <c r="N142" s="3">
        <v>323000</v>
      </c>
      <c r="O142" s="4">
        <v>0</v>
      </c>
      <c r="P142" s="3">
        <v>0</v>
      </c>
      <c r="Q142" s="3">
        <v>323000</v>
      </c>
      <c r="R142" s="3">
        <v>107500</v>
      </c>
      <c r="S142" t="s">
        <v>67</v>
      </c>
      <c r="T142" t="s">
        <v>48</v>
      </c>
      <c r="U142" t="s">
        <v>49</v>
      </c>
      <c r="V142" s="5">
        <v>0.33281733746130032</v>
      </c>
    </row>
    <row r="143" spans="1:22" x14ac:dyDescent="0.35">
      <c r="A143" t="s">
        <v>460</v>
      </c>
      <c r="B143" s="2">
        <v>45757</v>
      </c>
      <c r="C143" t="s">
        <v>405</v>
      </c>
      <c r="D143" t="s">
        <v>249</v>
      </c>
      <c r="E143" t="s">
        <v>41</v>
      </c>
      <c r="F143" t="s">
        <v>195</v>
      </c>
      <c r="G143" t="s">
        <v>195</v>
      </c>
      <c r="H143" t="s">
        <v>196</v>
      </c>
      <c r="I143" t="s">
        <v>45</v>
      </c>
      <c r="J143" t="s">
        <v>46</v>
      </c>
      <c r="K143">
        <v>3</v>
      </c>
      <c r="L143" s="3">
        <v>442000</v>
      </c>
      <c r="M143" s="3">
        <v>975300</v>
      </c>
      <c r="N143" s="3">
        <v>1326000</v>
      </c>
      <c r="O143" s="4">
        <v>0.02</v>
      </c>
      <c r="P143" s="3">
        <v>26520</v>
      </c>
      <c r="Q143" s="3">
        <v>1299480</v>
      </c>
      <c r="R143" s="3">
        <v>324180</v>
      </c>
      <c r="S143" t="s">
        <v>57</v>
      </c>
      <c r="T143" t="s">
        <v>48</v>
      </c>
      <c r="U143" t="s">
        <v>68</v>
      </c>
      <c r="V143" s="5">
        <v>0.24946901837658139</v>
      </c>
    </row>
    <row r="144" spans="1:22" x14ac:dyDescent="0.35">
      <c r="A144" t="s">
        <v>461</v>
      </c>
      <c r="B144" s="2">
        <v>45758</v>
      </c>
      <c r="C144" t="s">
        <v>269</v>
      </c>
      <c r="D144" t="s">
        <v>462</v>
      </c>
      <c r="E144" t="s">
        <v>61</v>
      </c>
      <c r="F144" t="s">
        <v>111</v>
      </c>
      <c r="G144" t="s">
        <v>112</v>
      </c>
      <c r="H144" t="s">
        <v>74</v>
      </c>
      <c r="I144" t="s">
        <v>103</v>
      </c>
      <c r="J144" t="s">
        <v>46</v>
      </c>
      <c r="K144">
        <v>5</v>
      </c>
      <c r="L144" s="3">
        <v>608800</v>
      </c>
      <c r="M144" s="3">
        <v>2671000</v>
      </c>
      <c r="N144" s="3">
        <v>3044000</v>
      </c>
      <c r="O144" s="4">
        <v>0.08</v>
      </c>
      <c r="P144" s="3">
        <v>243520</v>
      </c>
      <c r="Q144" s="3">
        <v>2800480</v>
      </c>
      <c r="R144" s="3">
        <v>129480</v>
      </c>
      <c r="S144" t="s">
        <v>57</v>
      </c>
      <c r="T144" t="s">
        <v>107</v>
      </c>
      <c r="U144" t="s">
        <v>49</v>
      </c>
      <c r="V144" s="5">
        <v>4.6234931154659202E-2</v>
      </c>
    </row>
    <row r="145" spans="1:22" x14ac:dyDescent="0.35">
      <c r="A145" t="s">
        <v>463</v>
      </c>
      <c r="B145" s="2">
        <v>45759</v>
      </c>
      <c r="C145" t="s">
        <v>464</v>
      </c>
      <c r="D145" t="s">
        <v>325</v>
      </c>
      <c r="E145" t="s">
        <v>41</v>
      </c>
      <c r="F145" t="s">
        <v>72</v>
      </c>
      <c r="G145" t="s">
        <v>73</v>
      </c>
      <c r="H145" t="s">
        <v>74</v>
      </c>
      <c r="I145" t="s">
        <v>156</v>
      </c>
      <c r="J145" t="s">
        <v>91</v>
      </c>
      <c r="K145">
        <v>6</v>
      </c>
      <c r="L145" s="3">
        <v>258200</v>
      </c>
      <c r="M145" s="3">
        <v>1007400</v>
      </c>
      <c r="N145" s="3">
        <v>1549200</v>
      </c>
      <c r="O145" s="4">
        <v>0.05</v>
      </c>
      <c r="P145" s="3">
        <v>77460</v>
      </c>
      <c r="Q145" s="3">
        <v>1471740</v>
      </c>
      <c r="R145" s="3">
        <v>464340</v>
      </c>
      <c r="S145" t="s">
        <v>47</v>
      </c>
      <c r="T145" t="s">
        <v>48</v>
      </c>
      <c r="U145" t="s">
        <v>49</v>
      </c>
      <c r="V145" s="5">
        <v>0.31550409719108002</v>
      </c>
    </row>
    <row r="146" spans="1:22" x14ac:dyDescent="0.35">
      <c r="A146" t="s">
        <v>465</v>
      </c>
      <c r="B146" s="2">
        <v>45759</v>
      </c>
      <c r="C146" t="s">
        <v>466</v>
      </c>
      <c r="D146" t="s">
        <v>467</v>
      </c>
      <c r="E146" t="s">
        <v>61</v>
      </c>
      <c r="F146" t="s">
        <v>200</v>
      </c>
      <c r="G146" t="s">
        <v>201</v>
      </c>
      <c r="H146" t="s">
        <v>99</v>
      </c>
      <c r="I146" t="s">
        <v>83</v>
      </c>
      <c r="J146" t="s">
        <v>56</v>
      </c>
      <c r="K146">
        <v>1</v>
      </c>
      <c r="L146" s="3">
        <v>41500</v>
      </c>
      <c r="M146" s="3">
        <v>27600</v>
      </c>
      <c r="N146" s="3">
        <v>41500</v>
      </c>
      <c r="O146" s="4">
        <v>0.05</v>
      </c>
      <c r="P146" s="3">
        <v>2075</v>
      </c>
      <c r="Q146" s="3">
        <v>39425</v>
      </c>
      <c r="R146" s="3">
        <v>11825</v>
      </c>
      <c r="S146" t="s">
        <v>47</v>
      </c>
      <c r="T146" t="s">
        <v>107</v>
      </c>
      <c r="U146" t="s">
        <v>49</v>
      </c>
      <c r="V146" s="5">
        <v>0.29993658845909948</v>
      </c>
    </row>
    <row r="147" spans="1:22" x14ac:dyDescent="0.35">
      <c r="A147" t="s">
        <v>468</v>
      </c>
      <c r="B147" s="2">
        <v>45759</v>
      </c>
      <c r="C147" t="s">
        <v>469</v>
      </c>
      <c r="D147" t="s">
        <v>470</v>
      </c>
      <c r="E147" t="s">
        <v>61</v>
      </c>
      <c r="F147" t="s">
        <v>72</v>
      </c>
      <c r="G147" t="s">
        <v>73</v>
      </c>
      <c r="H147" t="s">
        <v>74</v>
      </c>
      <c r="I147" t="s">
        <v>113</v>
      </c>
      <c r="J147" t="s">
        <v>66</v>
      </c>
      <c r="K147">
        <v>6</v>
      </c>
      <c r="L147" s="3">
        <v>217000</v>
      </c>
      <c r="M147" s="3">
        <v>932400</v>
      </c>
      <c r="N147" s="3">
        <v>1302000</v>
      </c>
      <c r="O147" s="4">
        <v>0</v>
      </c>
      <c r="P147" s="3">
        <v>0</v>
      </c>
      <c r="Q147" s="3">
        <v>1302000</v>
      </c>
      <c r="R147" s="3">
        <v>369600</v>
      </c>
      <c r="S147" t="s">
        <v>67</v>
      </c>
      <c r="T147" t="s">
        <v>107</v>
      </c>
      <c r="U147" t="s">
        <v>49</v>
      </c>
      <c r="V147" s="5">
        <v>0.28387096774193549</v>
      </c>
    </row>
    <row r="148" spans="1:22" x14ac:dyDescent="0.35">
      <c r="A148" t="s">
        <v>471</v>
      </c>
      <c r="B148" s="2">
        <v>45760</v>
      </c>
      <c r="C148" t="s">
        <v>469</v>
      </c>
      <c r="D148" t="s">
        <v>344</v>
      </c>
      <c r="E148" t="s">
        <v>41</v>
      </c>
      <c r="F148" t="s">
        <v>53</v>
      </c>
      <c r="G148" t="s">
        <v>54</v>
      </c>
      <c r="H148" t="s">
        <v>44</v>
      </c>
      <c r="I148" t="s">
        <v>45</v>
      </c>
      <c r="J148" t="s">
        <v>46</v>
      </c>
      <c r="K148">
        <v>7</v>
      </c>
      <c r="L148" s="3">
        <v>439800</v>
      </c>
      <c r="M148" s="3">
        <v>2391200</v>
      </c>
      <c r="N148" s="3">
        <v>3078600</v>
      </c>
      <c r="O148" s="4">
        <v>0</v>
      </c>
      <c r="P148" s="3">
        <v>0</v>
      </c>
      <c r="Q148" s="3">
        <v>3078600</v>
      </c>
      <c r="R148" s="3">
        <v>687400</v>
      </c>
      <c r="S148" t="s">
        <v>67</v>
      </c>
      <c r="T148" t="s">
        <v>107</v>
      </c>
      <c r="U148" t="s">
        <v>49</v>
      </c>
      <c r="V148" s="5">
        <v>0.22328331059572529</v>
      </c>
    </row>
    <row r="149" spans="1:22" x14ac:dyDescent="0.35">
      <c r="A149" t="s">
        <v>472</v>
      </c>
      <c r="B149" s="2">
        <v>45760</v>
      </c>
      <c r="C149" t="s">
        <v>473</v>
      </c>
      <c r="D149" t="s">
        <v>332</v>
      </c>
      <c r="E149" t="s">
        <v>61</v>
      </c>
      <c r="F149" t="s">
        <v>53</v>
      </c>
      <c r="G149" t="s">
        <v>54</v>
      </c>
      <c r="H149" t="s">
        <v>44</v>
      </c>
      <c r="I149" t="s">
        <v>45</v>
      </c>
      <c r="J149" t="s">
        <v>46</v>
      </c>
      <c r="K149">
        <v>6</v>
      </c>
      <c r="L149" s="3">
        <v>433100</v>
      </c>
      <c r="M149" s="3">
        <v>2028000</v>
      </c>
      <c r="N149" s="3">
        <v>2598600</v>
      </c>
      <c r="O149" s="4">
        <v>0</v>
      </c>
      <c r="P149" s="3">
        <v>0</v>
      </c>
      <c r="Q149" s="3">
        <v>2598600</v>
      </c>
      <c r="R149" s="3">
        <v>570600</v>
      </c>
      <c r="S149" t="s">
        <v>121</v>
      </c>
      <c r="T149" t="s">
        <v>48</v>
      </c>
      <c r="U149" t="s">
        <v>49</v>
      </c>
      <c r="V149" s="5">
        <v>0.21957977372431309</v>
      </c>
    </row>
    <row r="150" spans="1:22" x14ac:dyDescent="0.35">
      <c r="A150" t="s">
        <v>474</v>
      </c>
      <c r="B150" s="2">
        <v>45760</v>
      </c>
      <c r="C150" t="s">
        <v>475</v>
      </c>
      <c r="D150" t="s">
        <v>310</v>
      </c>
      <c r="E150" t="s">
        <v>41</v>
      </c>
      <c r="F150" t="s">
        <v>53</v>
      </c>
      <c r="G150" t="s">
        <v>54</v>
      </c>
      <c r="H150" t="s">
        <v>44</v>
      </c>
      <c r="I150" t="s">
        <v>103</v>
      </c>
      <c r="J150" t="s">
        <v>46</v>
      </c>
      <c r="K150">
        <v>7</v>
      </c>
      <c r="L150" s="3">
        <v>665200</v>
      </c>
      <c r="M150" s="3">
        <v>3682700</v>
      </c>
      <c r="N150" s="3">
        <v>4656400</v>
      </c>
      <c r="O150" s="4">
        <v>0</v>
      </c>
      <c r="P150" s="3">
        <v>0</v>
      </c>
      <c r="Q150" s="3">
        <v>4656400</v>
      </c>
      <c r="R150" s="3">
        <v>973700</v>
      </c>
      <c r="S150" t="s">
        <v>47</v>
      </c>
      <c r="T150" t="s">
        <v>48</v>
      </c>
      <c r="U150" t="s">
        <v>49</v>
      </c>
      <c r="V150" s="5">
        <v>0.2091100420926037</v>
      </c>
    </row>
    <row r="151" spans="1:22" x14ac:dyDescent="0.35">
      <c r="A151" t="s">
        <v>476</v>
      </c>
      <c r="B151" s="2">
        <v>45761</v>
      </c>
      <c r="C151" t="s">
        <v>477</v>
      </c>
      <c r="D151" t="s">
        <v>478</v>
      </c>
      <c r="E151" t="s">
        <v>41</v>
      </c>
      <c r="F151" t="s">
        <v>98</v>
      </c>
      <c r="G151" t="s">
        <v>98</v>
      </c>
      <c r="H151" t="s">
        <v>99</v>
      </c>
      <c r="I151" t="s">
        <v>120</v>
      </c>
      <c r="J151" t="s">
        <v>56</v>
      </c>
      <c r="K151">
        <v>1</v>
      </c>
      <c r="L151" s="3">
        <v>86400</v>
      </c>
      <c r="M151" s="3">
        <v>51100</v>
      </c>
      <c r="N151" s="3">
        <v>86400</v>
      </c>
      <c r="O151" s="4">
        <v>0</v>
      </c>
      <c r="P151" s="3">
        <v>0</v>
      </c>
      <c r="Q151" s="3">
        <v>86400</v>
      </c>
      <c r="R151" s="3">
        <v>35300</v>
      </c>
      <c r="S151" t="s">
        <v>67</v>
      </c>
      <c r="T151" t="s">
        <v>48</v>
      </c>
      <c r="U151" t="s">
        <v>49</v>
      </c>
      <c r="V151" s="5">
        <v>0.40856481481481483</v>
      </c>
    </row>
    <row r="152" spans="1:22" x14ac:dyDescent="0.35">
      <c r="A152" t="s">
        <v>479</v>
      </c>
      <c r="B152" s="2">
        <v>45762</v>
      </c>
      <c r="C152" t="s">
        <v>480</v>
      </c>
      <c r="D152" t="s">
        <v>232</v>
      </c>
      <c r="E152" t="s">
        <v>61</v>
      </c>
      <c r="F152" t="s">
        <v>42</v>
      </c>
      <c r="G152" t="s">
        <v>43</v>
      </c>
      <c r="H152" t="s">
        <v>44</v>
      </c>
      <c r="I152" t="s">
        <v>83</v>
      </c>
      <c r="J152" t="s">
        <v>56</v>
      </c>
      <c r="K152">
        <v>6</v>
      </c>
      <c r="L152" s="3">
        <v>42100</v>
      </c>
      <c r="M152" s="3">
        <v>166800</v>
      </c>
      <c r="N152" s="3">
        <v>252600</v>
      </c>
      <c r="O152" s="4">
        <v>0.05</v>
      </c>
      <c r="P152" s="3">
        <v>12630</v>
      </c>
      <c r="Q152" s="3">
        <v>239970</v>
      </c>
      <c r="R152" s="3">
        <v>73170</v>
      </c>
      <c r="S152" t="s">
        <v>76</v>
      </c>
      <c r="T152" t="s">
        <v>77</v>
      </c>
      <c r="U152" t="s">
        <v>49</v>
      </c>
      <c r="V152" s="5">
        <v>0.30491311413926742</v>
      </c>
    </row>
    <row r="153" spans="1:22" x14ac:dyDescent="0.35">
      <c r="A153" t="s">
        <v>481</v>
      </c>
      <c r="B153" s="2">
        <v>45763</v>
      </c>
      <c r="C153" t="s">
        <v>231</v>
      </c>
      <c r="D153" t="s">
        <v>482</v>
      </c>
      <c r="E153" t="s">
        <v>41</v>
      </c>
      <c r="F153" t="s">
        <v>81</v>
      </c>
      <c r="G153" t="s">
        <v>82</v>
      </c>
      <c r="H153" t="s">
        <v>64</v>
      </c>
      <c r="I153" t="s">
        <v>75</v>
      </c>
      <c r="J153" t="s">
        <v>56</v>
      </c>
      <c r="K153">
        <v>2</v>
      </c>
      <c r="L153" s="3">
        <v>70000</v>
      </c>
      <c r="M153" s="3">
        <v>82000</v>
      </c>
      <c r="N153" s="3">
        <v>140000</v>
      </c>
      <c r="O153" s="4">
        <v>0.05</v>
      </c>
      <c r="P153" s="3">
        <v>7000</v>
      </c>
      <c r="Q153" s="3">
        <v>133000</v>
      </c>
      <c r="R153" s="3">
        <v>51000</v>
      </c>
      <c r="S153" t="s">
        <v>47</v>
      </c>
      <c r="T153" t="s">
        <v>107</v>
      </c>
      <c r="U153" t="s">
        <v>49</v>
      </c>
      <c r="V153" s="5">
        <v>0.38345864661654128</v>
      </c>
    </row>
    <row r="154" spans="1:22" x14ac:dyDescent="0.35">
      <c r="A154" t="s">
        <v>483</v>
      </c>
      <c r="B154" s="2">
        <v>45763</v>
      </c>
      <c r="C154" t="s">
        <v>266</v>
      </c>
      <c r="D154" t="s">
        <v>484</v>
      </c>
      <c r="E154" t="s">
        <v>61</v>
      </c>
      <c r="F154" t="s">
        <v>195</v>
      </c>
      <c r="G154" t="s">
        <v>195</v>
      </c>
      <c r="H154" t="s">
        <v>196</v>
      </c>
      <c r="I154" t="s">
        <v>103</v>
      </c>
      <c r="J154" t="s">
        <v>46</v>
      </c>
      <c r="K154">
        <v>6</v>
      </c>
      <c r="L154" s="3">
        <v>689000</v>
      </c>
      <c r="M154" s="3">
        <v>3105600</v>
      </c>
      <c r="N154" s="3">
        <v>4134000</v>
      </c>
      <c r="O154" s="4">
        <v>0.1</v>
      </c>
      <c r="P154" s="3">
        <v>413400</v>
      </c>
      <c r="Q154" s="3">
        <v>3720600</v>
      </c>
      <c r="R154" s="3">
        <v>615000</v>
      </c>
      <c r="S154" t="s">
        <v>67</v>
      </c>
      <c r="T154" t="s">
        <v>48</v>
      </c>
      <c r="U154" t="s">
        <v>49</v>
      </c>
      <c r="V154" s="5">
        <v>0.16529592001290111</v>
      </c>
    </row>
    <row r="155" spans="1:22" x14ac:dyDescent="0.35">
      <c r="A155" t="s">
        <v>485</v>
      </c>
      <c r="B155" s="2">
        <v>45766</v>
      </c>
      <c r="C155" t="s">
        <v>486</v>
      </c>
      <c r="D155" t="s">
        <v>487</v>
      </c>
      <c r="E155" t="s">
        <v>41</v>
      </c>
      <c r="F155" t="s">
        <v>125</v>
      </c>
      <c r="G155" t="s">
        <v>126</v>
      </c>
      <c r="H155" t="s">
        <v>64</v>
      </c>
      <c r="I155" t="s">
        <v>55</v>
      </c>
      <c r="J155" t="s">
        <v>56</v>
      </c>
      <c r="K155">
        <v>8</v>
      </c>
      <c r="L155" s="3">
        <v>34600</v>
      </c>
      <c r="M155" s="3">
        <v>168800</v>
      </c>
      <c r="N155" s="3">
        <v>276800</v>
      </c>
      <c r="O155" s="4">
        <v>0.02</v>
      </c>
      <c r="P155" s="3">
        <v>5536</v>
      </c>
      <c r="Q155" s="3">
        <v>271264</v>
      </c>
      <c r="R155" s="3">
        <v>102464</v>
      </c>
      <c r="S155" t="s">
        <v>76</v>
      </c>
      <c r="T155" t="s">
        <v>48</v>
      </c>
      <c r="U155" t="s">
        <v>49</v>
      </c>
      <c r="V155" s="5">
        <v>0.377727969800637</v>
      </c>
    </row>
    <row r="156" spans="1:22" x14ac:dyDescent="0.35">
      <c r="A156" t="s">
        <v>488</v>
      </c>
      <c r="B156" s="2">
        <v>45766</v>
      </c>
      <c r="C156" t="s">
        <v>489</v>
      </c>
      <c r="D156" t="s">
        <v>137</v>
      </c>
      <c r="E156" t="s">
        <v>41</v>
      </c>
      <c r="F156" t="s">
        <v>42</v>
      </c>
      <c r="G156" t="s">
        <v>43</v>
      </c>
      <c r="H156" t="s">
        <v>44</v>
      </c>
      <c r="I156" t="s">
        <v>75</v>
      </c>
      <c r="J156" t="s">
        <v>56</v>
      </c>
      <c r="K156">
        <v>2</v>
      </c>
      <c r="L156" s="3">
        <v>69600</v>
      </c>
      <c r="M156" s="3">
        <v>86600</v>
      </c>
      <c r="N156" s="3">
        <v>139200</v>
      </c>
      <c r="O156" s="4">
        <v>0</v>
      </c>
      <c r="P156" s="3">
        <v>0</v>
      </c>
      <c r="Q156" s="3">
        <v>139200</v>
      </c>
      <c r="R156" s="3">
        <v>52600</v>
      </c>
      <c r="S156" t="s">
        <v>121</v>
      </c>
      <c r="T156" t="s">
        <v>107</v>
      </c>
      <c r="U156" t="s">
        <v>49</v>
      </c>
      <c r="V156" s="5">
        <v>0.37787356321839077</v>
      </c>
    </row>
    <row r="157" spans="1:22" x14ac:dyDescent="0.35">
      <c r="A157" t="s">
        <v>490</v>
      </c>
      <c r="B157" s="2">
        <v>45766</v>
      </c>
      <c r="C157" t="s">
        <v>491</v>
      </c>
      <c r="D157" t="s">
        <v>456</v>
      </c>
      <c r="E157" t="s">
        <v>41</v>
      </c>
      <c r="F157" t="s">
        <v>111</v>
      </c>
      <c r="G157" t="s">
        <v>112</v>
      </c>
      <c r="H157" t="s">
        <v>74</v>
      </c>
      <c r="I157" t="s">
        <v>75</v>
      </c>
      <c r="J157" t="s">
        <v>56</v>
      </c>
      <c r="K157">
        <v>1</v>
      </c>
      <c r="L157" s="3">
        <v>66400</v>
      </c>
      <c r="M157" s="3">
        <v>40800</v>
      </c>
      <c r="N157" s="3">
        <v>66400</v>
      </c>
      <c r="O157" s="4">
        <v>0.02</v>
      </c>
      <c r="P157" s="3">
        <v>1328</v>
      </c>
      <c r="Q157" s="3">
        <v>65072</v>
      </c>
      <c r="R157" s="3">
        <v>24272</v>
      </c>
      <c r="S157" t="s">
        <v>67</v>
      </c>
      <c r="T157" t="s">
        <v>77</v>
      </c>
      <c r="U157" t="s">
        <v>49</v>
      </c>
      <c r="V157" s="5">
        <v>0.37300221293336611</v>
      </c>
    </row>
    <row r="158" spans="1:22" x14ac:dyDescent="0.35">
      <c r="A158" t="s">
        <v>492</v>
      </c>
      <c r="B158" s="2">
        <v>45771</v>
      </c>
      <c r="C158" t="s">
        <v>145</v>
      </c>
      <c r="D158" t="s">
        <v>493</v>
      </c>
      <c r="E158" t="s">
        <v>41</v>
      </c>
      <c r="F158" t="s">
        <v>62</v>
      </c>
      <c r="G158" t="s">
        <v>63</v>
      </c>
      <c r="H158" t="s">
        <v>64</v>
      </c>
      <c r="I158" t="s">
        <v>131</v>
      </c>
      <c r="J158" t="s">
        <v>91</v>
      </c>
      <c r="K158">
        <v>5</v>
      </c>
      <c r="L158" s="3">
        <v>128900</v>
      </c>
      <c r="M158" s="3">
        <v>382500</v>
      </c>
      <c r="N158" s="3">
        <v>644500</v>
      </c>
      <c r="O158" s="4">
        <v>0.05</v>
      </c>
      <c r="P158" s="3">
        <v>0</v>
      </c>
      <c r="Q158" s="3">
        <v>0</v>
      </c>
      <c r="R158" s="3">
        <v>0</v>
      </c>
      <c r="S158" t="s">
        <v>121</v>
      </c>
      <c r="T158" t="s">
        <v>48</v>
      </c>
      <c r="U158" t="s">
        <v>127</v>
      </c>
      <c r="V158" s="5">
        <v>0</v>
      </c>
    </row>
    <row r="159" spans="1:22" x14ac:dyDescent="0.35">
      <c r="A159" t="s">
        <v>494</v>
      </c>
      <c r="B159" s="2">
        <v>45771</v>
      </c>
      <c r="C159" t="s">
        <v>495</v>
      </c>
      <c r="D159" t="s">
        <v>496</v>
      </c>
      <c r="E159" t="s">
        <v>61</v>
      </c>
      <c r="F159" t="s">
        <v>42</v>
      </c>
      <c r="G159" t="s">
        <v>43</v>
      </c>
      <c r="H159" t="s">
        <v>44</v>
      </c>
      <c r="I159" t="s">
        <v>103</v>
      </c>
      <c r="J159" t="s">
        <v>46</v>
      </c>
      <c r="K159">
        <v>5</v>
      </c>
      <c r="L159" s="3">
        <v>687300</v>
      </c>
      <c r="M159" s="3">
        <v>2592500</v>
      </c>
      <c r="N159" s="3">
        <v>3436500</v>
      </c>
      <c r="O159" s="4">
        <v>0.05</v>
      </c>
      <c r="P159" s="3">
        <v>171825</v>
      </c>
      <c r="Q159" s="3">
        <v>3264675</v>
      </c>
      <c r="R159" s="3">
        <v>672175</v>
      </c>
      <c r="S159" t="s">
        <v>57</v>
      </c>
      <c r="T159" t="s">
        <v>107</v>
      </c>
      <c r="U159" t="s">
        <v>68</v>
      </c>
      <c r="V159" s="5">
        <v>0.2058933890816084</v>
      </c>
    </row>
    <row r="160" spans="1:22" x14ac:dyDescent="0.35">
      <c r="A160" t="s">
        <v>497</v>
      </c>
      <c r="B160" s="2">
        <v>45771</v>
      </c>
      <c r="C160" t="s">
        <v>498</v>
      </c>
      <c r="D160" t="s">
        <v>499</v>
      </c>
      <c r="E160" t="s">
        <v>61</v>
      </c>
      <c r="F160" t="s">
        <v>168</v>
      </c>
      <c r="G160" t="s">
        <v>169</v>
      </c>
      <c r="H160" t="s">
        <v>74</v>
      </c>
      <c r="I160" t="s">
        <v>156</v>
      </c>
      <c r="J160" t="s">
        <v>91</v>
      </c>
      <c r="K160">
        <v>2</v>
      </c>
      <c r="L160" s="3">
        <v>238400</v>
      </c>
      <c r="M160" s="3">
        <v>319400</v>
      </c>
      <c r="N160" s="3">
        <v>476800</v>
      </c>
      <c r="O160" s="4">
        <v>0.08</v>
      </c>
      <c r="P160" s="3">
        <v>38144</v>
      </c>
      <c r="Q160" s="3">
        <v>438656</v>
      </c>
      <c r="R160" s="3">
        <v>119256</v>
      </c>
      <c r="S160" t="s">
        <v>57</v>
      </c>
      <c r="T160" t="s">
        <v>48</v>
      </c>
      <c r="U160" t="s">
        <v>68</v>
      </c>
      <c r="V160" s="5">
        <v>0.27186679311351042</v>
      </c>
    </row>
    <row r="161" spans="1:22" x14ac:dyDescent="0.35">
      <c r="A161" t="s">
        <v>500</v>
      </c>
      <c r="B161" s="2">
        <v>45772</v>
      </c>
      <c r="C161" t="s">
        <v>501</v>
      </c>
      <c r="D161" t="s">
        <v>502</v>
      </c>
      <c r="E161" t="s">
        <v>41</v>
      </c>
      <c r="F161" t="s">
        <v>62</v>
      </c>
      <c r="G161" t="s">
        <v>63</v>
      </c>
      <c r="H161" t="s">
        <v>64</v>
      </c>
      <c r="I161" t="s">
        <v>131</v>
      </c>
      <c r="J161" t="s">
        <v>91</v>
      </c>
      <c r="K161">
        <v>5</v>
      </c>
      <c r="L161" s="3">
        <v>118700</v>
      </c>
      <c r="M161" s="3">
        <v>378500</v>
      </c>
      <c r="N161" s="3">
        <v>593500</v>
      </c>
      <c r="O161" s="4">
        <v>0</v>
      </c>
      <c r="P161" s="3">
        <v>0</v>
      </c>
      <c r="Q161" s="3">
        <v>593500</v>
      </c>
      <c r="R161" s="3">
        <v>215000</v>
      </c>
      <c r="S161" t="s">
        <v>67</v>
      </c>
      <c r="T161" t="s">
        <v>77</v>
      </c>
      <c r="U161" t="s">
        <v>49</v>
      </c>
      <c r="V161" s="5">
        <v>0.36225779275484421</v>
      </c>
    </row>
    <row r="162" spans="1:22" x14ac:dyDescent="0.35">
      <c r="A162" t="s">
        <v>503</v>
      </c>
      <c r="B162" s="2">
        <v>45773</v>
      </c>
      <c r="C162" t="s">
        <v>504</v>
      </c>
      <c r="D162" t="s">
        <v>505</v>
      </c>
      <c r="E162" t="s">
        <v>41</v>
      </c>
      <c r="F162" t="s">
        <v>98</v>
      </c>
      <c r="G162" t="s">
        <v>98</v>
      </c>
      <c r="H162" t="s">
        <v>99</v>
      </c>
      <c r="I162" t="s">
        <v>45</v>
      </c>
      <c r="J162" t="s">
        <v>46</v>
      </c>
      <c r="K162">
        <v>6</v>
      </c>
      <c r="L162" s="3">
        <v>418600</v>
      </c>
      <c r="M162" s="3">
        <v>1959000</v>
      </c>
      <c r="N162" s="3">
        <v>2511600</v>
      </c>
      <c r="O162" s="4">
        <v>0.05</v>
      </c>
      <c r="P162" s="3">
        <v>125580</v>
      </c>
      <c r="Q162" s="3">
        <v>2386020</v>
      </c>
      <c r="R162" s="3">
        <v>427020</v>
      </c>
      <c r="S162" t="s">
        <v>67</v>
      </c>
      <c r="T162" t="s">
        <v>107</v>
      </c>
      <c r="U162" t="s">
        <v>49</v>
      </c>
      <c r="V162" s="5">
        <v>0.1789674856036412</v>
      </c>
    </row>
    <row r="163" spans="1:22" x14ac:dyDescent="0.35">
      <c r="A163" t="s">
        <v>506</v>
      </c>
      <c r="B163" s="2">
        <v>45773</v>
      </c>
      <c r="C163" t="s">
        <v>148</v>
      </c>
      <c r="D163" t="s">
        <v>507</v>
      </c>
      <c r="E163" t="s">
        <v>41</v>
      </c>
      <c r="F163" t="s">
        <v>72</v>
      </c>
      <c r="G163" t="s">
        <v>73</v>
      </c>
      <c r="H163" t="s">
        <v>74</v>
      </c>
      <c r="I163" t="s">
        <v>156</v>
      </c>
      <c r="J163" t="s">
        <v>91</v>
      </c>
      <c r="K163">
        <v>5</v>
      </c>
      <c r="L163" s="3">
        <v>246700</v>
      </c>
      <c r="M163" s="3">
        <v>842500</v>
      </c>
      <c r="N163" s="3">
        <v>1233500</v>
      </c>
      <c r="O163" s="4">
        <v>0</v>
      </c>
      <c r="P163" s="3">
        <v>0</v>
      </c>
      <c r="Q163" s="3">
        <v>1233500</v>
      </c>
      <c r="R163" s="3">
        <v>391000</v>
      </c>
      <c r="S163" t="s">
        <v>67</v>
      </c>
      <c r="T163" t="s">
        <v>48</v>
      </c>
      <c r="U163" t="s">
        <v>49</v>
      </c>
      <c r="V163" s="5">
        <v>0.31698419132549649</v>
      </c>
    </row>
    <row r="164" spans="1:22" x14ac:dyDescent="0.35">
      <c r="A164" t="s">
        <v>508</v>
      </c>
      <c r="B164" s="2">
        <v>45774</v>
      </c>
      <c r="C164" t="s">
        <v>509</v>
      </c>
      <c r="D164" t="s">
        <v>510</v>
      </c>
      <c r="E164" t="s">
        <v>41</v>
      </c>
      <c r="F164" t="s">
        <v>98</v>
      </c>
      <c r="G164" t="s">
        <v>98</v>
      </c>
      <c r="H164" t="s">
        <v>99</v>
      </c>
      <c r="I164" t="s">
        <v>120</v>
      </c>
      <c r="J164" t="s">
        <v>56</v>
      </c>
      <c r="K164">
        <v>7</v>
      </c>
      <c r="L164" s="3">
        <v>83600</v>
      </c>
      <c r="M164" s="3">
        <v>350700</v>
      </c>
      <c r="N164" s="3">
        <v>585200</v>
      </c>
      <c r="O164" s="4">
        <v>0</v>
      </c>
      <c r="P164" s="3">
        <v>0</v>
      </c>
      <c r="Q164" s="3">
        <v>585200</v>
      </c>
      <c r="R164" s="3">
        <v>234500</v>
      </c>
      <c r="S164" t="s">
        <v>67</v>
      </c>
      <c r="T164" t="s">
        <v>107</v>
      </c>
      <c r="U164" t="s">
        <v>49</v>
      </c>
      <c r="V164" s="5">
        <v>0.40071770334928231</v>
      </c>
    </row>
    <row r="165" spans="1:22" x14ac:dyDescent="0.35">
      <c r="A165" t="s">
        <v>511</v>
      </c>
      <c r="B165" s="2">
        <v>45774</v>
      </c>
      <c r="C165" t="s">
        <v>402</v>
      </c>
      <c r="D165" t="s">
        <v>325</v>
      </c>
      <c r="E165" t="s">
        <v>41</v>
      </c>
      <c r="F165" t="s">
        <v>195</v>
      </c>
      <c r="G165" t="s">
        <v>195</v>
      </c>
      <c r="H165" t="s">
        <v>196</v>
      </c>
      <c r="I165" t="s">
        <v>90</v>
      </c>
      <c r="J165" t="s">
        <v>91</v>
      </c>
      <c r="K165">
        <v>4</v>
      </c>
      <c r="L165" s="3">
        <v>178000</v>
      </c>
      <c r="M165" s="3">
        <v>488000</v>
      </c>
      <c r="N165" s="3">
        <v>712000</v>
      </c>
      <c r="O165" s="4">
        <v>0.02</v>
      </c>
      <c r="P165" s="3">
        <v>14240</v>
      </c>
      <c r="Q165" s="3">
        <v>697760</v>
      </c>
      <c r="R165" s="3">
        <v>209760</v>
      </c>
      <c r="S165" t="s">
        <v>47</v>
      </c>
      <c r="T165" t="s">
        <v>48</v>
      </c>
      <c r="U165" t="s">
        <v>49</v>
      </c>
      <c r="V165" s="5">
        <v>0.300619124054116</v>
      </c>
    </row>
    <row r="166" spans="1:22" x14ac:dyDescent="0.35">
      <c r="A166" t="s">
        <v>512</v>
      </c>
      <c r="B166" s="2">
        <v>45774</v>
      </c>
      <c r="C166" t="s">
        <v>513</v>
      </c>
      <c r="D166" t="s">
        <v>514</v>
      </c>
      <c r="E166" t="s">
        <v>41</v>
      </c>
      <c r="F166" t="s">
        <v>111</v>
      </c>
      <c r="G166" t="s">
        <v>112</v>
      </c>
      <c r="H166" t="s">
        <v>74</v>
      </c>
      <c r="I166" t="s">
        <v>75</v>
      </c>
      <c r="J166" t="s">
        <v>56</v>
      </c>
      <c r="K166">
        <v>1</v>
      </c>
      <c r="L166" s="3">
        <v>69600</v>
      </c>
      <c r="M166" s="3">
        <v>43600</v>
      </c>
      <c r="N166" s="3">
        <v>69600</v>
      </c>
      <c r="O166" s="4">
        <v>0</v>
      </c>
      <c r="P166" s="3">
        <v>0</v>
      </c>
      <c r="Q166" s="3">
        <v>69600</v>
      </c>
      <c r="R166" s="3">
        <v>26000</v>
      </c>
      <c r="S166" t="s">
        <v>121</v>
      </c>
      <c r="T166" t="s">
        <v>107</v>
      </c>
      <c r="U166" t="s">
        <v>49</v>
      </c>
      <c r="V166" s="5">
        <v>0.37356321839080459</v>
      </c>
    </row>
    <row r="167" spans="1:22" x14ac:dyDescent="0.35">
      <c r="A167" t="s">
        <v>515</v>
      </c>
      <c r="B167" s="2">
        <v>45775</v>
      </c>
      <c r="C167" t="s">
        <v>312</v>
      </c>
      <c r="D167" t="s">
        <v>516</v>
      </c>
      <c r="E167" t="s">
        <v>41</v>
      </c>
      <c r="F167" t="s">
        <v>125</v>
      </c>
      <c r="G167" t="s">
        <v>126</v>
      </c>
      <c r="H167" t="s">
        <v>64</v>
      </c>
      <c r="I167" t="s">
        <v>75</v>
      </c>
      <c r="J167" t="s">
        <v>56</v>
      </c>
      <c r="K167">
        <v>5</v>
      </c>
      <c r="L167" s="3">
        <v>60000</v>
      </c>
      <c r="M167" s="3">
        <v>207000</v>
      </c>
      <c r="N167" s="3">
        <v>300000</v>
      </c>
      <c r="O167" s="4">
        <v>0</v>
      </c>
      <c r="P167" s="3">
        <v>0</v>
      </c>
      <c r="Q167" s="3">
        <v>300000</v>
      </c>
      <c r="R167" s="3">
        <v>93000</v>
      </c>
      <c r="S167" t="s">
        <v>121</v>
      </c>
      <c r="T167" t="s">
        <v>48</v>
      </c>
      <c r="U167" t="s">
        <v>49</v>
      </c>
      <c r="V167" s="5">
        <v>0.31</v>
      </c>
    </row>
    <row r="168" spans="1:22" x14ac:dyDescent="0.35">
      <c r="A168" t="s">
        <v>517</v>
      </c>
      <c r="B168" s="2">
        <v>45777</v>
      </c>
      <c r="C168" t="s">
        <v>300</v>
      </c>
      <c r="D168" t="s">
        <v>518</v>
      </c>
      <c r="E168" t="s">
        <v>61</v>
      </c>
      <c r="F168" t="s">
        <v>125</v>
      </c>
      <c r="G168" t="s">
        <v>126</v>
      </c>
      <c r="H168" t="s">
        <v>64</v>
      </c>
      <c r="I168" t="s">
        <v>55</v>
      </c>
      <c r="J168" t="s">
        <v>56</v>
      </c>
      <c r="K168">
        <v>1</v>
      </c>
      <c r="L168" s="3">
        <v>36000</v>
      </c>
      <c r="M168" s="3">
        <v>21000</v>
      </c>
      <c r="N168" s="3">
        <v>36000</v>
      </c>
      <c r="O168" s="4">
        <v>0</v>
      </c>
      <c r="P168" s="3">
        <v>0</v>
      </c>
      <c r="Q168" s="3">
        <v>36000</v>
      </c>
      <c r="R168" s="3">
        <v>15000</v>
      </c>
      <c r="S168" t="s">
        <v>121</v>
      </c>
      <c r="T168" t="s">
        <v>77</v>
      </c>
      <c r="U168" t="s">
        <v>49</v>
      </c>
      <c r="V168" s="5">
        <v>0.41666666666666669</v>
      </c>
    </row>
    <row r="169" spans="1:22" x14ac:dyDescent="0.35">
      <c r="A169" t="s">
        <v>519</v>
      </c>
      <c r="B169" s="2">
        <v>45778</v>
      </c>
      <c r="C169" t="s">
        <v>264</v>
      </c>
      <c r="D169" t="s">
        <v>520</v>
      </c>
      <c r="E169" t="s">
        <v>61</v>
      </c>
      <c r="F169" t="s">
        <v>42</v>
      </c>
      <c r="G169" t="s">
        <v>43</v>
      </c>
      <c r="H169" t="s">
        <v>44</v>
      </c>
      <c r="I169" t="s">
        <v>113</v>
      </c>
      <c r="J169" t="s">
        <v>66</v>
      </c>
      <c r="K169">
        <v>7</v>
      </c>
      <c r="L169" s="3">
        <v>223300</v>
      </c>
      <c r="M169" s="3">
        <v>1034600</v>
      </c>
      <c r="N169" s="3">
        <v>1563100</v>
      </c>
      <c r="O169" s="4">
        <v>0</v>
      </c>
      <c r="P169" s="3">
        <v>0</v>
      </c>
      <c r="Q169" s="3">
        <v>1563100</v>
      </c>
      <c r="R169" s="3">
        <v>528500</v>
      </c>
      <c r="S169" t="s">
        <v>47</v>
      </c>
      <c r="T169" t="s">
        <v>48</v>
      </c>
      <c r="U169" t="s">
        <v>49</v>
      </c>
      <c r="V169" s="5">
        <v>0.33811016569637259</v>
      </c>
    </row>
    <row r="170" spans="1:22" x14ac:dyDescent="0.35">
      <c r="A170" t="s">
        <v>521</v>
      </c>
      <c r="B170" s="2">
        <v>45778</v>
      </c>
      <c r="C170" t="s">
        <v>203</v>
      </c>
      <c r="D170" t="s">
        <v>522</v>
      </c>
      <c r="E170" t="s">
        <v>41</v>
      </c>
      <c r="F170" t="s">
        <v>62</v>
      </c>
      <c r="G170" t="s">
        <v>63</v>
      </c>
      <c r="H170" t="s">
        <v>64</v>
      </c>
      <c r="I170" t="s">
        <v>90</v>
      </c>
      <c r="J170" t="s">
        <v>91</v>
      </c>
      <c r="K170">
        <v>5</v>
      </c>
      <c r="L170" s="3">
        <v>191100</v>
      </c>
      <c r="M170" s="3">
        <v>611500</v>
      </c>
      <c r="N170" s="3">
        <v>955500</v>
      </c>
      <c r="O170" s="4">
        <v>0</v>
      </c>
      <c r="P170" s="3">
        <v>0</v>
      </c>
      <c r="Q170" s="3">
        <v>955500</v>
      </c>
      <c r="R170" s="3">
        <v>344000</v>
      </c>
      <c r="S170" t="s">
        <v>121</v>
      </c>
      <c r="T170" t="s">
        <v>48</v>
      </c>
      <c r="U170" t="s">
        <v>49</v>
      </c>
      <c r="V170" s="5">
        <v>0.36002093144950292</v>
      </c>
    </row>
    <row r="171" spans="1:22" x14ac:dyDescent="0.35">
      <c r="A171" t="s">
        <v>523</v>
      </c>
      <c r="B171" s="2">
        <v>45779</v>
      </c>
      <c r="C171" t="s">
        <v>524</v>
      </c>
      <c r="D171" t="s">
        <v>89</v>
      </c>
      <c r="E171" t="s">
        <v>41</v>
      </c>
      <c r="F171" t="s">
        <v>81</v>
      </c>
      <c r="G171" t="s">
        <v>82</v>
      </c>
      <c r="H171" t="s">
        <v>64</v>
      </c>
      <c r="I171" t="s">
        <v>65</v>
      </c>
      <c r="J171" t="s">
        <v>66</v>
      </c>
      <c r="K171">
        <v>4</v>
      </c>
      <c r="L171" s="3">
        <v>158600</v>
      </c>
      <c r="M171" s="3">
        <v>462000</v>
      </c>
      <c r="N171" s="3">
        <v>634400</v>
      </c>
      <c r="O171" s="4">
        <v>0.05</v>
      </c>
      <c r="P171" s="3">
        <v>31720</v>
      </c>
      <c r="Q171" s="3">
        <v>602680</v>
      </c>
      <c r="R171" s="3">
        <v>140680</v>
      </c>
      <c r="S171" t="s">
        <v>67</v>
      </c>
      <c r="T171" t="s">
        <v>48</v>
      </c>
      <c r="U171" t="s">
        <v>49</v>
      </c>
      <c r="V171" s="5">
        <v>0.23342403929116609</v>
      </c>
    </row>
    <row r="172" spans="1:22" x14ac:dyDescent="0.35">
      <c r="A172" t="s">
        <v>525</v>
      </c>
      <c r="B172" s="2">
        <v>45782</v>
      </c>
      <c r="C172" t="s">
        <v>415</v>
      </c>
      <c r="D172" t="s">
        <v>189</v>
      </c>
      <c r="E172" t="s">
        <v>41</v>
      </c>
      <c r="F172" t="s">
        <v>42</v>
      </c>
      <c r="G172" t="s">
        <v>43</v>
      </c>
      <c r="H172" t="s">
        <v>44</v>
      </c>
      <c r="I172" t="s">
        <v>75</v>
      </c>
      <c r="J172" t="s">
        <v>56</v>
      </c>
      <c r="K172">
        <v>1</v>
      </c>
      <c r="L172" s="3">
        <v>66900</v>
      </c>
      <c r="M172" s="3">
        <v>41800</v>
      </c>
      <c r="N172" s="3">
        <v>66900</v>
      </c>
      <c r="O172" s="4">
        <v>0.05</v>
      </c>
      <c r="P172" s="3">
        <v>3345</v>
      </c>
      <c r="Q172" s="3">
        <v>63555</v>
      </c>
      <c r="R172" s="3">
        <v>21755</v>
      </c>
      <c r="S172" t="s">
        <v>67</v>
      </c>
      <c r="T172" t="s">
        <v>48</v>
      </c>
      <c r="U172" t="s">
        <v>68</v>
      </c>
      <c r="V172" s="5">
        <v>0.34230194319880419</v>
      </c>
    </row>
    <row r="173" spans="1:22" x14ac:dyDescent="0.35">
      <c r="A173" t="s">
        <v>526</v>
      </c>
      <c r="B173" s="2">
        <v>45782</v>
      </c>
      <c r="C173" t="s">
        <v>329</v>
      </c>
      <c r="D173" t="s">
        <v>527</v>
      </c>
      <c r="E173" t="s">
        <v>61</v>
      </c>
      <c r="F173" t="s">
        <v>98</v>
      </c>
      <c r="G173" t="s">
        <v>98</v>
      </c>
      <c r="H173" t="s">
        <v>99</v>
      </c>
      <c r="I173" t="s">
        <v>45</v>
      </c>
      <c r="J173" t="s">
        <v>46</v>
      </c>
      <c r="K173">
        <v>5</v>
      </c>
      <c r="L173" s="3">
        <v>402000</v>
      </c>
      <c r="M173" s="3">
        <v>1625500</v>
      </c>
      <c r="N173" s="3">
        <v>2010000</v>
      </c>
      <c r="O173" s="4">
        <v>0</v>
      </c>
      <c r="P173" s="3">
        <v>0</v>
      </c>
      <c r="Q173" s="3">
        <v>2010000</v>
      </c>
      <c r="R173" s="3">
        <v>384500</v>
      </c>
      <c r="S173" t="s">
        <v>57</v>
      </c>
      <c r="T173" t="s">
        <v>77</v>
      </c>
      <c r="U173" t="s">
        <v>49</v>
      </c>
      <c r="V173" s="5">
        <v>0.19129353233830851</v>
      </c>
    </row>
    <row r="174" spans="1:22" x14ac:dyDescent="0.35">
      <c r="A174" t="s">
        <v>528</v>
      </c>
      <c r="B174" s="2">
        <v>45782</v>
      </c>
      <c r="C174" t="s">
        <v>504</v>
      </c>
      <c r="D174" t="s">
        <v>529</v>
      </c>
      <c r="E174" t="s">
        <v>61</v>
      </c>
      <c r="F174" t="s">
        <v>200</v>
      </c>
      <c r="G174" t="s">
        <v>201</v>
      </c>
      <c r="H174" t="s">
        <v>99</v>
      </c>
      <c r="I174" t="s">
        <v>55</v>
      </c>
      <c r="J174" t="s">
        <v>56</v>
      </c>
      <c r="K174">
        <v>7</v>
      </c>
      <c r="L174" s="3">
        <v>33400</v>
      </c>
      <c r="M174" s="3">
        <v>151200</v>
      </c>
      <c r="N174" s="3">
        <v>233800</v>
      </c>
      <c r="O174" s="4">
        <v>0.08</v>
      </c>
      <c r="P174" s="3">
        <v>18704</v>
      </c>
      <c r="Q174" s="3">
        <v>215096</v>
      </c>
      <c r="R174" s="3">
        <v>63896</v>
      </c>
      <c r="S174" t="s">
        <v>67</v>
      </c>
      <c r="T174" t="s">
        <v>48</v>
      </c>
      <c r="U174" t="s">
        <v>68</v>
      </c>
      <c r="V174" s="5">
        <v>0.29705805779744859</v>
      </c>
    </row>
    <row r="175" spans="1:22" x14ac:dyDescent="0.35">
      <c r="A175" t="s">
        <v>530</v>
      </c>
      <c r="B175" s="2">
        <v>45783</v>
      </c>
      <c r="C175" t="s">
        <v>425</v>
      </c>
      <c r="D175" t="s">
        <v>531</v>
      </c>
      <c r="E175" t="s">
        <v>41</v>
      </c>
      <c r="F175" t="s">
        <v>81</v>
      </c>
      <c r="G175" t="s">
        <v>82</v>
      </c>
      <c r="H175" t="s">
        <v>64</v>
      </c>
      <c r="I175" t="s">
        <v>75</v>
      </c>
      <c r="J175" t="s">
        <v>56</v>
      </c>
      <c r="K175">
        <v>1</v>
      </c>
      <c r="L175" s="3">
        <v>62500</v>
      </c>
      <c r="M175" s="3">
        <v>42100</v>
      </c>
      <c r="N175" s="3">
        <v>62500</v>
      </c>
      <c r="O175" s="4">
        <v>0.05</v>
      </c>
      <c r="P175" s="3">
        <v>3125</v>
      </c>
      <c r="Q175" s="3">
        <v>59375</v>
      </c>
      <c r="R175" s="3">
        <v>17275</v>
      </c>
      <c r="S175" t="s">
        <v>47</v>
      </c>
      <c r="T175" t="s">
        <v>48</v>
      </c>
      <c r="U175" t="s">
        <v>49</v>
      </c>
      <c r="V175" s="5">
        <v>0.29094736842105262</v>
      </c>
    </row>
    <row r="176" spans="1:22" x14ac:dyDescent="0.35">
      <c r="A176" t="s">
        <v>532</v>
      </c>
      <c r="B176" s="2">
        <v>45783</v>
      </c>
      <c r="C176" t="s">
        <v>533</v>
      </c>
      <c r="D176" t="s">
        <v>171</v>
      </c>
      <c r="E176" t="s">
        <v>41</v>
      </c>
      <c r="F176" t="s">
        <v>168</v>
      </c>
      <c r="G176" t="s">
        <v>169</v>
      </c>
      <c r="H176" t="s">
        <v>74</v>
      </c>
      <c r="I176" t="s">
        <v>83</v>
      </c>
      <c r="J176" t="s">
        <v>56</v>
      </c>
      <c r="K176">
        <v>1</v>
      </c>
      <c r="L176" s="3">
        <v>44500</v>
      </c>
      <c r="M176" s="3">
        <v>29000</v>
      </c>
      <c r="N176" s="3">
        <v>44500</v>
      </c>
      <c r="O176" s="4">
        <v>0.05</v>
      </c>
      <c r="P176" s="3">
        <v>2225</v>
      </c>
      <c r="Q176" s="3">
        <v>42275</v>
      </c>
      <c r="R176" s="3">
        <v>13275</v>
      </c>
      <c r="S176" t="s">
        <v>76</v>
      </c>
      <c r="T176" t="s">
        <v>48</v>
      </c>
      <c r="U176" t="s">
        <v>49</v>
      </c>
      <c r="V176" s="5">
        <v>0.31401537551744529</v>
      </c>
    </row>
    <row r="177" spans="1:22" x14ac:dyDescent="0.35">
      <c r="A177" t="s">
        <v>534</v>
      </c>
      <c r="B177" s="2">
        <v>45783</v>
      </c>
      <c r="C177" t="s">
        <v>535</v>
      </c>
      <c r="D177" t="s">
        <v>536</v>
      </c>
      <c r="E177" t="s">
        <v>41</v>
      </c>
      <c r="F177" t="s">
        <v>73</v>
      </c>
      <c r="G177" t="s">
        <v>73</v>
      </c>
      <c r="H177" t="s">
        <v>74</v>
      </c>
      <c r="I177" t="s">
        <v>103</v>
      </c>
      <c r="J177" t="s">
        <v>46</v>
      </c>
      <c r="K177">
        <v>4</v>
      </c>
      <c r="L177" s="3">
        <v>640400</v>
      </c>
      <c r="M177" s="3">
        <v>2083600</v>
      </c>
      <c r="N177" s="3">
        <v>2561600</v>
      </c>
      <c r="O177" s="4">
        <v>0.08</v>
      </c>
      <c r="P177" s="3">
        <v>204928</v>
      </c>
      <c r="Q177" s="3">
        <v>2356672</v>
      </c>
      <c r="R177" s="3">
        <v>273072</v>
      </c>
      <c r="S177" t="s">
        <v>76</v>
      </c>
      <c r="T177" t="s">
        <v>48</v>
      </c>
      <c r="U177" t="s">
        <v>49</v>
      </c>
      <c r="V177" s="5">
        <v>0.11587187355728761</v>
      </c>
    </row>
    <row r="178" spans="1:22" x14ac:dyDescent="0.35">
      <c r="A178" t="s">
        <v>537</v>
      </c>
      <c r="B178" s="2">
        <v>45784</v>
      </c>
      <c r="C178" t="s">
        <v>538</v>
      </c>
      <c r="D178" t="s">
        <v>426</v>
      </c>
      <c r="E178" t="s">
        <v>61</v>
      </c>
      <c r="F178" t="s">
        <v>81</v>
      </c>
      <c r="G178" t="s">
        <v>82</v>
      </c>
      <c r="H178" t="s">
        <v>64</v>
      </c>
      <c r="I178" t="s">
        <v>140</v>
      </c>
      <c r="J178" t="s">
        <v>46</v>
      </c>
      <c r="K178">
        <v>1</v>
      </c>
      <c r="L178" s="3">
        <v>284700</v>
      </c>
      <c r="M178" s="3">
        <v>218200</v>
      </c>
      <c r="N178" s="3">
        <v>284700</v>
      </c>
      <c r="O178" s="4">
        <v>0</v>
      </c>
      <c r="P178" s="3">
        <v>0</v>
      </c>
      <c r="Q178" s="3">
        <v>284700</v>
      </c>
      <c r="R178" s="3">
        <v>66500</v>
      </c>
      <c r="S178" t="s">
        <v>67</v>
      </c>
      <c r="T178" t="s">
        <v>77</v>
      </c>
      <c r="U178" t="s">
        <v>49</v>
      </c>
      <c r="V178" s="5">
        <v>0.23357920618194589</v>
      </c>
    </row>
    <row r="179" spans="1:22" x14ac:dyDescent="0.35">
      <c r="A179" t="s">
        <v>539</v>
      </c>
      <c r="B179" s="2">
        <v>45784</v>
      </c>
      <c r="C179" t="s">
        <v>540</v>
      </c>
      <c r="D179" t="s">
        <v>541</v>
      </c>
      <c r="E179" t="s">
        <v>41</v>
      </c>
      <c r="F179" t="s">
        <v>72</v>
      </c>
      <c r="G179" t="s">
        <v>73</v>
      </c>
      <c r="H179" t="s">
        <v>74</v>
      </c>
      <c r="I179" t="s">
        <v>90</v>
      </c>
      <c r="J179" t="s">
        <v>91</v>
      </c>
      <c r="K179">
        <v>1</v>
      </c>
      <c r="L179" s="3">
        <v>171700</v>
      </c>
      <c r="M179" s="3">
        <v>123100</v>
      </c>
      <c r="N179" s="3">
        <v>171700</v>
      </c>
      <c r="O179" s="4">
        <v>0</v>
      </c>
      <c r="P179" s="3">
        <v>0</v>
      </c>
      <c r="Q179" s="3">
        <v>171700</v>
      </c>
      <c r="R179" s="3">
        <v>48600</v>
      </c>
      <c r="S179" t="s">
        <v>67</v>
      </c>
      <c r="T179" t="s">
        <v>77</v>
      </c>
      <c r="U179" t="s">
        <v>49</v>
      </c>
      <c r="V179" s="5">
        <v>0.28305183459522421</v>
      </c>
    </row>
    <row r="180" spans="1:22" x14ac:dyDescent="0.35">
      <c r="A180" t="s">
        <v>542</v>
      </c>
      <c r="B180" s="2">
        <v>45785</v>
      </c>
      <c r="C180" t="s">
        <v>166</v>
      </c>
      <c r="D180" t="s">
        <v>543</v>
      </c>
      <c r="E180" t="s">
        <v>41</v>
      </c>
      <c r="F180" t="s">
        <v>73</v>
      </c>
      <c r="G180" t="s">
        <v>73</v>
      </c>
      <c r="H180" t="s">
        <v>74</v>
      </c>
      <c r="I180" t="s">
        <v>55</v>
      </c>
      <c r="J180" t="s">
        <v>56</v>
      </c>
      <c r="K180">
        <v>4</v>
      </c>
      <c r="L180" s="3">
        <v>33800</v>
      </c>
      <c r="M180" s="3">
        <v>83200</v>
      </c>
      <c r="N180" s="3">
        <v>135200</v>
      </c>
      <c r="O180" s="4">
        <v>0.08</v>
      </c>
      <c r="P180" s="3">
        <v>10816</v>
      </c>
      <c r="Q180" s="3">
        <v>124384</v>
      </c>
      <c r="R180" s="3">
        <v>41184</v>
      </c>
      <c r="S180" t="s">
        <v>47</v>
      </c>
      <c r="T180" t="s">
        <v>77</v>
      </c>
      <c r="U180" t="s">
        <v>49</v>
      </c>
      <c r="V180" s="5">
        <v>0.33110367892976589</v>
      </c>
    </row>
    <row r="181" spans="1:22" x14ac:dyDescent="0.35">
      <c r="A181" t="s">
        <v>544</v>
      </c>
      <c r="B181" s="2">
        <v>45785</v>
      </c>
      <c r="C181" t="s">
        <v>79</v>
      </c>
      <c r="D181" t="s">
        <v>545</v>
      </c>
      <c r="E181" t="s">
        <v>41</v>
      </c>
      <c r="F181" t="s">
        <v>98</v>
      </c>
      <c r="G181" t="s">
        <v>98</v>
      </c>
      <c r="H181" t="s">
        <v>99</v>
      </c>
      <c r="I181" t="s">
        <v>120</v>
      </c>
      <c r="J181" t="s">
        <v>56</v>
      </c>
      <c r="K181">
        <v>5</v>
      </c>
      <c r="L181" s="3">
        <v>79100</v>
      </c>
      <c r="M181" s="3">
        <v>251500</v>
      </c>
      <c r="N181" s="3">
        <v>395500</v>
      </c>
      <c r="O181" s="4">
        <v>0.05</v>
      </c>
      <c r="P181" s="3">
        <v>19775</v>
      </c>
      <c r="Q181" s="3">
        <v>375725</v>
      </c>
      <c r="R181" s="3">
        <v>124225</v>
      </c>
      <c r="S181" t="s">
        <v>67</v>
      </c>
      <c r="T181" t="s">
        <v>48</v>
      </c>
      <c r="U181" t="s">
        <v>49</v>
      </c>
      <c r="V181" s="5">
        <v>0.33062745358972651</v>
      </c>
    </row>
    <row r="182" spans="1:22" x14ac:dyDescent="0.35">
      <c r="A182" t="s">
        <v>546</v>
      </c>
      <c r="B182" s="2">
        <v>45785</v>
      </c>
      <c r="C182" t="s">
        <v>547</v>
      </c>
      <c r="D182" t="s">
        <v>548</v>
      </c>
      <c r="E182" t="s">
        <v>41</v>
      </c>
      <c r="F182" t="s">
        <v>200</v>
      </c>
      <c r="G182" t="s">
        <v>201</v>
      </c>
      <c r="H182" t="s">
        <v>99</v>
      </c>
      <c r="I182" t="s">
        <v>83</v>
      </c>
      <c r="J182" t="s">
        <v>56</v>
      </c>
      <c r="K182">
        <v>5</v>
      </c>
      <c r="L182" s="3">
        <v>41800</v>
      </c>
      <c r="M182" s="3">
        <v>139500</v>
      </c>
      <c r="N182" s="3">
        <v>209000</v>
      </c>
      <c r="O182" s="4">
        <v>0</v>
      </c>
      <c r="P182" s="3">
        <v>0</v>
      </c>
      <c r="Q182" s="3">
        <v>209000</v>
      </c>
      <c r="R182" s="3">
        <v>69500</v>
      </c>
      <c r="S182" t="s">
        <v>67</v>
      </c>
      <c r="T182" t="s">
        <v>48</v>
      </c>
      <c r="U182" t="s">
        <v>49</v>
      </c>
      <c r="V182" s="5">
        <v>0.33253588516746407</v>
      </c>
    </row>
    <row r="183" spans="1:22" x14ac:dyDescent="0.35">
      <c r="A183" t="s">
        <v>549</v>
      </c>
      <c r="B183" s="2">
        <v>45785</v>
      </c>
      <c r="C183" t="s">
        <v>550</v>
      </c>
      <c r="D183" t="s">
        <v>551</v>
      </c>
      <c r="E183" t="s">
        <v>61</v>
      </c>
      <c r="F183" t="s">
        <v>62</v>
      </c>
      <c r="G183" t="s">
        <v>63</v>
      </c>
      <c r="H183" t="s">
        <v>64</v>
      </c>
      <c r="I183" t="s">
        <v>103</v>
      </c>
      <c r="J183" t="s">
        <v>46</v>
      </c>
      <c r="K183">
        <v>4</v>
      </c>
      <c r="L183" s="3">
        <v>613000</v>
      </c>
      <c r="M183" s="3">
        <v>2014400</v>
      </c>
      <c r="N183" s="3">
        <v>2452000</v>
      </c>
      <c r="O183" s="4">
        <v>0</v>
      </c>
      <c r="P183" s="3">
        <v>0</v>
      </c>
      <c r="Q183" s="3">
        <v>2452000</v>
      </c>
      <c r="R183" s="3">
        <v>437600</v>
      </c>
      <c r="S183" t="s">
        <v>47</v>
      </c>
      <c r="T183" t="s">
        <v>48</v>
      </c>
      <c r="U183" t="s">
        <v>49</v>
      </c>
      <c r="V183" s="5">
        <v>0.17846655791190871</v>
      </c>
    </row>
    <row r="184" spans="1:22" x14ac:dyDescent="0.35">
      <c r="A184" t="s">
        <v>552</v>
      </c>
      <c r="B184" s="2">
        <v>45786</v>
      </c>
      <c r="C184" t="s">
        <v>402</v>
      </c>
      <c r="D184" t="s">
        <v>553</v>
      </c>
      <c r="E184" t="s">
        <v>41</v>
      </c>
      <c r="F184" t="s">
        <v>62</v>
      </c>
      <c r="G184" t="s">
        <v>63</v>
      </c>
      <c r="H184" t="s">
        <v>64</v>
      </c>
      <c r="I184" t="s">
        <v>90</v>
      </c>
      <c r="J184" t="s">
        <v>91</v>
      </c>
      <c r="K184">
        <v>2</v>
      </c>
      <c r="L184" s="3">
        <v>188200</v>
      </c>
      <c r="M184" s="3">
        <v>257800</v>
      </c>
      <c r="N184" s="3">
        <v>376400</v>
      </c>
      <c r="O184" s="4">
        <v>0.1</v>
      </c>
      <c r="P184" s="3">
        <v>37640</v>
      </c>
      <c r="Q184" s="3">
        <v>338760</v>
      </c>
      <c r="R184" s="3">
        <v>80960</v>
      </c>
      <c r="S184" t="s">
        <v>47</v>
      </c>
      <c r="T184" t="s">
        <v>107</v>
      </c>
      <c r="U184" t="s">
        <v>49</v>
      </c>
      <c r="V184" s="5">
        <v>0.23898925492974379</v>
      </c>
    </row>
    <row r="185" spans="1:22" x14ac:dyDescent="0.35">
      <c r="A185" t="s">
        <v>554</v>
      </c>
      <c r="B185" s="2">
        <v>45787</v>
      </c>
      <c r="C185" t="s">
        <v>486</v>
      </c>
      <c r="D185" t="s">
        <v>116</v>
      </c>
      <c r="E185" t="s">
        <v>61</v>
      </c>
      <c r="F185" t="s">
        <v>98</v>
      </c>
      <c r="G185" t="s">
        <v>98</v>
      </c>
      <c r="H185" t="s">
        <v>99</v>
      </c>
      <c r="I185" t="s">
        <v>45</v>
      </c>
      <c r="J185" t="s">
        <v>46</v>
      </c>
      <c r="K185">
        <v>1</v>
      </c>
      <c r="L185" s="3">
        <v>401600</v>
      </c>
      <c r="M185" s="3">
        <v>331100</v>
      </c>
      <c r="N185" s="3">
        <v>401600</v>
      </c>
      <c r="O185" s="4">
        <v>0</v>
      </c>
      <c r="P185" s="3">
        <v>0</v>
      </c>
      <c r="Q185" s="3">
        <v>401600</v>
      </c>
      <c r="R185" s="3">
        <v>70500</v>
      </c>
      <c r="S185" t="s">
        <v>121</v>
      </c>
      <c r="T185" t="s">
        <v>107</v>
      </c>
      <c r="U185" t="s">
        <v>49</v>
      </c>
      <c r="V185" s="5">
        <v>0.17554780876494019</v>
      </c>
    </row>
    <row r="186" spans="1:22" x14ac:dyDescent="0.35">
      <c r="A186" t="s">
        <v>555</v>
      </c>
      <c r="B186" s="2">
        <v>45787</v>
      </c>
      <c r="C186" t="s">
        <v>228</v>
      </c>
      <c r="D186" t="s">
        <v>556</v>
      </c>
      <c r="E186" t="s">
        <v>41</v>
      </c>
      <c r="F186" t="s">
        <v>200</v>
      </c>
      <c r="G186" t="s">
        <v>201</v>
      </c>
      <c r="H186" t="s">
        <v>99</v>
      </c>
      <c r="I186" t="s">
        <v>90</v>
      </c>
      <c r="J186" t="s">
        <v>91</v>
      </c>
      <c r="K186">
        <v>8</v>
      </c>
      <c r="L186" s="3">
        <v>176000</v>
      </c>
      <c r="M186" s="3">
        <v>1025600</v>
      </c>
      <c r="N186" s="3">
        <v>1408000</v>
      </c>
      <c r="O186" s="4">
        <v>0</v>
      </c>
      <c r="P186" s="3">
        <v>0</v>
      </c>
      <c r="Q186" s="3">
        <v>1408000</v>
      </c>
      <c r="R186" s="3">
        <v>382400</v>
      </c>
      <c r="S186" t="s">
        <v>67</v>
      </c>
      <c r="T186" t="s">
        <v>77</v>
      </c>
      <c r="U186" t="s">
        <v>49</v>
      </c>
      <c r="V186" s="5">
        <v>0.27159090909090911</v>
      </c>
    </row>
    <row r="187" spans="1:22" x14ac:dyDescent="0.35">
      <c r="A187" t="s">
        <v>557</v>
      </c>
      <c r="B187" s="2">
        <v>45787</v>
      </c>
      <c r="C187" t="s">
        <v>188</v>
      </c>
      <c r="D187" t="s">
        <v>558</v>
      </c>
      <c r="E187" t="s">
        <v>41</v>
      </c>
      <c r="F187" t="s">
        <v>125</v>
      </c>
      <c r="G187" t="s">
        <v>126</v>
      </c>
      <c r="H187" t="s">
        <v>64</v>
      </c>
      <c r="I187" t="s">
        <v>156</v>
      </c>
      <c r="J187" t="s">
        <v>91</v>
      </c>
      <c r="K187">
        <v>1</v>
      </c>
      <c r="L187" s="3">
        <v>246700</v>
      </c>
      <c r="M187" s="3">
        <v>166500</v>
      </c>
      <c r="N187" s="3">
        <v>246700</v>
      </c>
      <c r="O187" s="4">
        <v>0.08</v>
      </c>
      <c r="P187" s="3">
        <v>19736</v>
      </c>
      <c r="Q187" s="3">
        <v>226964</v>
      </c>
      <c r="R187" s="3">
        <v>60464</v>
      </c>
      <c r="S187" t="s">
        <v>67</v>
      </c>
      <c r="T187" t="s">
        <v>77</v>
      </c>
      <c r="U187" t="s">
        <v>49</v>
      </c>
      <c r="V187" s="5">
        <v>0.26640348249061518</v>
      </c>
    </row>
    <row r="188" spans="1:22" x14ac:dyDescent="0.35">
      <c r="A188" t="s">
        <v>559</v>
      </c>
      <c r="B188" s="2">
        <v>45788</v>
      </c>
      <c r="C188" t="s">
        <v>560</v>
      </c>
      <c r="D188" t="s">
        <v>295</v>
      </c>
      <c r="E188" t="s">
        <v>41</v>
      </c>
      <c r="F188" t="s">
        <v>81</v>
      </c>
      <c r="G188" t="s">
        <v>82</v>
      </c>
      <c r="H188" t="s">
        <v>64</v>
      </c>
      <c r="I188" t="s">
        <v>65</v>
      </c>
      <c r="J188" t="s">
        <v>66</v>
      </c>
      <c r="K188">
        <v>3</v>
      </c>
      <c r="L188" s="3">
        <v>165100</v>
      </c>
      <c r="M188" s="3">
        <v>345000</v>
      </c>
      <c r="N188" s="3">
        <v>495300</v>
      </c>
      <c r="O188" s="4">
        <v>0.05</v>
      </c>
      <c r="P188" s="3">
        <v>0</v>
      </c>
      <c r="Q188" s="3">
        <v>0</v>
      </c>
      <c r="R188" s="3">
        <v>0</v>
      </c>
      <c r="S188" t="s">
        <v>76</v>
      </c>
      <c r="T188" t="s">
        <v>77</v>
      </c>
      <c r="U188" t="s">
        <v>127</v>
      </c>
      <c r="V188" s="5">
        <v>0</v>
      </c>
    </row>
    <row r="189" spans="1:22" x14ac:dyDescent="0.35">
      <c r="A189" t="s">
        <v>561</v>
      </c>
      <c r="B189" s="2">
        <v>45789</v>
      </c>
      <c r="C189" t="s">
        <v>447</v>
      </c>
      <c r="D189" t="s">
        <v>562</v>
      </c>
      <c r="E189" t="s">
        <v>41</v>
      </c>
      <c r="F189" t="s">
        <v>200</v>
      </c>
      <c r="G189" t="s">
        <v>201</v>
      </c>
      <c r="H189" t="s">
        <v>99</v>
      </c>
      <c r="I189" t="s">
        <v>55</v>
      </c>
      <c r="J189" t="s">
        <v>56</v>
      </c>
      <c r="K189">
        <v>5</v>
      </c>
      <c r="L189" s="3">
        <v>35400</v>
      </c>
      <c r="M189" s="3">
        <v>107000</v>
      </c>
      <c r="N189" s="3">
        <v>177000</v>
      </c>
      <c r="O189" s="4">
        <v>0.08</v>
      </c>
      <c r="P189" s="3">
        <v>14160</v>
      </c>
      <c r="Q189" s="3">
        <v>162840</v>
      </c>
      <c r="R189" s="3">
        <v>55840</v>
      </c>
      <c r="S189" t="s">
        <v>57</v>
      </c>
      <c r="T189" t="s">
        <v>48</v>
      </c>
      <c r="U189" t="s">
        <v>49</v>
      </c>
      <c r="V189" s="5">
        <v>0.34291328911815278</v>
      </c>
    </row>
    <row r="190" spans="1:22" x14ac:dyDescent="0.35">
      <c r="A190" t="s">
        <v>563</v>
      </c>
      <c r="B190" s="2">
        <v>45789</v>
      </c>
      <c r="C190" t="s">
        <v>491</v>
      </c>
      <c r="D190" t="s">
        <v>543</v>
      </c>
      <c r="E190" t="s">
        <v>61</v>
      </c>
      <c r="F190" t="s">
        <v>111</v>
      </c>
      <c r="G190" t="s">
        <v>112</v>
      </c>
      <c r="H190" t="s">
        <v>74</v>
      </c>
      <c r="I190" t="s">
        <v>156</v>
      </c>
      <c r="J190" t="s">
        <v>91</v>
      </c>
      <c r="K190">
        <v>7</v>
      </c>
      <c r="L190" s="3">
        <v>232500</v>
      </c>
      <c r="M190" s="3">
        <v>1190000</v>
      </c>
      <c r="N190" s="3">
        <v>1627500</v>
      </c>
      <c r="O190" s="4">
        <v>0.1</v>
      </c>
      <c r="P190" s="3">
        <v>162750</v>
      </c>
      <c r="Q190" s="3">
        <v>1464750</v>
      </c>
      <c r="R190" s="3">
        <v>274750</v>
      </c>
      <c r="S190" t="s">
        <v>121</v>
      </c>
      <c r="T190" t="s">
        <v>48</v>
      </c>
      <c r="U190" t="s">
        <v>49</v>
      </c>
      <c r="V190" s="5">
        <v>0.18757467144563919</v>
      </c>
    </row>
    <row r="191" spans="1:22" x14ac:dyDescent="0.35">
      <c r="A191" t="s">
        <v>564</v>
      </c>
      <c r="B191" s="2">
        <v>45789</v>
      </c>
      <c r="C191" t="s">
        <v>405</v>
      </c>
      <c r="D191" t="s">
        <v>565</v>
      </c>
      <c r="E191" t="s">
        <v>41</v>
      </c>
      <c r="F191" t="s">
        <v>168</v>
      </c>
      <c r="G191" t="s">
        <v>169</v>
      </c>
      <c r="H191" t="s">
        <v>74</v>
      </c>
      <c r="I191" t="s">
        <v>45</v>
      </c>
      <c r="J191" t="s">
        <v>46</v>
      </c>
      <c r="K191">
        <v>5</v>
      </c>
      <c r="L191" s="3">
        <v>426700</v>
      </c>
      <c r="M191" s="3">
        <v>1635000</v>
      </c>
      <c r="N191" s="3">
        <v>2133500</v>
      </c>
      <c r="O191" s="4">
        <v>0.08</v>
      </c>
      <c r="P191" s="3">
        <v>170680</v>
      </c>
      <c r="Q191" s="3">
        <v>1962820</v>
      </c>
      <c r="R191" s="3">
        <v>327820</v>
      </c>
      <c r="S191" t="s">
        <v>47</v>
      </c>
      <c r="T191" t="s">
        <v>48</v>
      </c>
      <c r="U191" t="s">
        <v>49</v>
      </c>
      <c r="V191" s="5">
        <v>0.167014805229211</v>
      </c>
    </row>
    <row r="192" spans="1:22" x14ac:dyDescent="0.35">
      <c r="A192" t="s">
        <v>566</v>
      </c>
      <c r="B192" s="2">
        <v>45789</v>
      </c>
      <c r="C192" t="s">
        <v>491</v>
      </c>
      <c r="D192" t="s">
        <v>567</v>
      </c>
      <c r="E192" t="s">
        <v>61</v>
      </c>
      <c r="F192" t="s">
        <v>195</v>
      </c>
      <c r="G192" t="s">
        <v>195</v>
      </c>
      <c r="H192" t="s">
        <v>196</v>
      </c>
      <c r="I192" t="s">
        <v>83</v>
      </c>
      <c r="J192" t="s">
        <v>56</v>
      </c>
      <c r="K192">
        <v>7</v>
      </c>
      <c r="L192" s="3">
        <v>47700</v>
      </c>
      <c r="M192" s="3">
        <v>191100</v>
      </c>
      <c r="N192" s="3">
        <v>333900</v>
      </c>
      <c r="O192" s="4">
        <v>0.08</v>
      </c>
      <c r="P192" s="3">
        <v>26712</v>
      </c>
      <c r="Q192" s="3">
        <v>307188</v>
      </c>
      <c r="R192" s="3">
        <v>116088</v>
      </c>
      <c r="S192" t="s">
        <v>67</v>
      </c>
      <c r="T192" t="s">
        <v>48</v>
      </c>
      <c r="U192" t="s">
        <v>49</v>
      </c>
      <c r="V192" s="5">
        <v>0.37790538692917691</v>
      </c>
    </row>
    <row r="193" spans="1:22" x14ac:dyDescent="0.35">
      <c r="A193" t="s">
        <v>568</v>
      </c>
      <c r="B193" s="2">
        <v>45790</v>
      </c>
      <c r="C193" t="s">
        <v>569</v>
      </c>
      <c r="D193" t="s">
        <v>411</v>
      </c>
      <c r="E193" t="s">
        <v>41</v>
      </c>
      <c r="F193" t="s">
        <v>73</v>
      </c>
      <c r="G193" t="s">
        <v>73</v>
      </c>
      <c r="H193" t="s">
        <v>74</v>
      </c>
      <c r="I193" t="s">
        <v>45</v>
      </c>
      <c r="J193" t="s">
        <v>46</v>
      </c>
      <c r="K193">
        <v>7</v>
      </c>
      <c r="L193" s="3">
        <v>435200</v>
      </c>
      <c r="M193" s="3">
        <v>2362500</v>
      </c>
      <c r="N193" s="3">
        <v>3046400</v>
      </c>
      <c r="O193" s="4">
        <v>0</v>
      </c>
      <c r="P193" s="3">
        <v>0</v>
      </c>
      <c r="Q193" s="3">
        <v>3046400</v>
      </c>
      <c r="R193" s="3">
        <v>683900</v>
      </c>
      <c r="S193" t="s">
        <v>76</v>
      </c>
      <c r="T193" t="s">
        <v>48</v>
      </c>
      <c r="U193" t="s">
        <v>68</v>
      </c>
      <c r="V193" s="5">
        <v>0.22449448529411761</v>
      </c>
    </row>
    <row r="194" spans="1:22" x14ac:dyDescent="0.35">
      <c r="A194" t="s">
        <v>570</v>
      </c>
      <c r="B194" s="2">
        <v>45791</v>
      </c>
      <c r="C194" t="s">
        <v>571</v>
      </c>
      <c r="D194" t="s">
        <v>572</v>
      </c>
      <c r="E194" t="s">
        <v>61</v>
      </c>
      <c r="F194" t="s">
        <v>195</v>
      </c>
      <c r="G194" t="s">
        <v>195</v>
      </c>
      <c r="H194" t="s">
        <v>196</v>
      </c>
      <c r="I194" t="s">
        <v>55</v>
      </c>
      <c r="J194" t="s">
        <v>56</v>
      </c>
      <c r="K194">
        <v>2</v>
      </c>
      <c r="L194" s="3">
        <v>36400</v>
      </c>
      <c r="M194" s="3">
        <v>42600</v>
      </c>
      <c r="N194" s="3">
        <v>72800</v>
      </c>
      <c r="O194" s="4">
        <v>0</v>
      </c>
      <c r="P194" s="3">
        <v>0</v>
      </c>
      <c r="Q194" s="3">
        <v>72800</v>
      </c>
      <c r="R194" s="3">
        <v>30200</v>
      </c>
      <c r="S194" t="s">
        <v>57</v>
      </c>
      <c r="T194" t="s">
        <v>48</v>
      </c>
      <c r="U194" t="s">
        <v>49</v>
      </c>
      <c r="V194" s="5">
        <v>0.41483516483516492</v>
      </c>
    </row>
    <row r="195" spans="1:22" x14ac:dyDescent="0.35">
      <c r="A195" t="s">
        <v>573</v>
      </c>
      <c r="B195" s="2">
        <v>45792</v>
      </c>
      <c r="C195" t="s">
        <v>477</v>
      </c>
      <c r="D195" t="s">
        <v>332</v>
      </c>
      <c r="E195" t="s">
        <v>41</v>
      </c>
      <c r="F195" t="s">
        <v>73</v>
      </c>
      <c r="G195" t="s">
        <v>73</v>
      </c>
      <c r="H195" t="s">
        <v>74</v>
      </c>
      <c r="I195" t="s">
        <v>140</v>
      </c>
      <c r="J195" t="s">
        <v>46</v>
      </c>
      <c r="K195">
        <v>4</v>
      </c>
      <c r="L195" s="3">
        <v>268200</v>
      </c>
      <c r="M195" s="3">
        <v>848000</v>
      </c>
      <c r="N195" s="3">
        <v>1072800</v>
      </c>
      <c r="O195" s="4">
        <v>0.05</v>
      </c>
      <c r="P195" s="3">
        <v>53640</v>
      </c>
      <c r="Q195" s="3">
        <v>1019160</v>
      </c>
      <c r="R195" s="3">
        <v>171160</v>
      </c>
      <c r="S195" t="s">
        <v>67</v>
      </c>
      <c r="T195" t="s">
        <v>77</v>
      </c>
      <c r="U195" t="s">
        <v>49</v>
      </c>
      <c r="V195" s="5">
        <v>0.16794222693198321</v>
      </c>
    </row>
    <row r="196" spans="1:22" x14ac:dyDescent="0.35">
      <c r="A196" t="s">
        <v>574</v>
      </c>
      <c r="B196" s="2">
        <v>45792</v>
      </c>
      <c r="C196" t="s">
        <v>259</v>
      </c>
      <c r="D196" t="s">
        <v>275</v>
      </c>
      <c r="E196" t="s">
        <v>41</v>
      </c>
      <c r="F196" t="s">
        <v>42</v>
      </c>
      <c r="G196" t="s">
        <v>43</v>
      </c>
      <c r="H196" t="s">
        <v>44</v>
      </c>
      <c r="I196" t="s">
        <v>75</v>
      </c>
      <c r="J196" t="s">
        <v>56</v>
      </c>
      <c r="K196">
        <v>4</v>
      </c>
      <c r="L196" s="3">
        <v>62600</v>
      </c>
      <c r="M196" s="3">
        <v>162400</v>
      </c>
      <c r="N196" s="3">
        <v>250400</v>
      </c>
      <c r="O196" s="4">
        <v>0.1</v>
      </c>
      <c r="P196" s="3">
        <v>25040</v>
      </c>
      <c r="Q196" s="3">
        <v>225360</v>
      </c>
      <c r="R196" s="3">
        <v>62960</v>
      </c>
      <c r="S196" t="s">
        <v>121</v>
      </c>
      <c r="T196" t="s">
        <v>48</v>
      </c>
      <c r="U196" t="s">
        <v>49</v>
      </c>
      <c r="V196" s="5">
        <v>0.27937522186723462</v>
      </c>
    </row>
    <row r="197" spans="1:22" x14ac:dyDescent="0.35">
      <c r="A197" t="s">
        <v>575</v>
      </c>
      <c r="B197" s="2">
        <v>45792</v>
      </c>
      <c r="C197" t="s">
        <v>473</v>
      </c>
      <c r="D197" t="s">
        <v>576</v>
      </c>
      <c r="E197" t="s">
        <v>41</v>
      </c>
      <c r="F197" t="s">
        <v>125</v>
      </c>
      <c r="G197" t="s">
        <v>126</v>
      </c>
      <c r="H197" t="s">
        <v>64</v>
      </c>
      <c r="I197" t="s">
        <v>120</v>
      </c>
      <c r="J197" t="s">
        <v>56</v>
      </c>
      <c r="K197">
        <v>7</v>
      </c>
      <c r="L197" s="3">
        <v>86500</v>
      </c>
      <c r="M197" s="3">
        <v>350000</v>
      </c>
      <c r="N197" s="3">
        <v>605500</v>
      </c>
      <c r="O197" s="4">
        <v>0</v>
      </c>
      <c r="P197" s="3">
        <v>0</v>
      </c>
      <c r="Q197" s="3">
        <v>605500</v>
      </c>
      <c r="R197" s="3">
        <v>255500</v>
      </c>
      <c r="S197" t="s">
        <v>57</v>
      </c>
      <c r="T197" t="s">
        <v>107</v>
      </c>
      <c r="U197" t="s">
        <v>49</v>
      </c>
      <c r="V197" s="5">
        <v>0.42196531791907521</v>
      </c>
    </row>
    <row r="198" spans="1:22" x14ac:dyDescent="0.35">
      <c r="A198" t="s">
        <v>577</v>
      </c>
      <c r="B198" s="2">
        <v>45794</v>
      </c>
      <c r="C198" t="s">
        <v>284</v>
      </c>
      <c r="D198" t="s">
        <v>578</v>
      </c>
      <c r="E198" t="s">
        <v>61</v>
      </c>
      <c r="F198" t="s">
        <v>73</v>
      </c>
      <c r="G198" t="s">
        <v>73</v>
      </c>
      <c r="H198" t="s">
        <v>74</v>
      </c>
      <c r="I198" t="s">
        <v>55</v>
      </c>
      <c r="J198" t="s">
        <v>56</v>
      </c>
      <c r="K198">
        <v>7</v>
      </c>
      <c r="L198" s="3">
        <v>37700</v>
      </c>
      <c r="M198" s="3">
        <v>151900</v>
      </c>
      <c r="N198" s="3">
        <v>263900</v>
      </c>
      <c r="O198" s="4">
        <v>0.02</v>
      </c>
      <c r="P198" s="3">
        <v>5278</v>
      </c>
      <c r="Q198" s="3">
        <v>258622</v>
      </c>
      <c r="R198" s="3">
        <v>106722</v>
      </c>
      <c r="S198" t="s">
        <v>67</v>
      </c>
      <c r="T198" t="s">
        <v>48</v>
      </c>
      <c r="U198" t="s">
        <v>49</v>
      </c>
      <c r="V198" s="5">
        <v>0.41265630920803342</v>
      </c>
    </row>
    <row r="199" spans="1:22" x14ac:dyDescent="0.35">
      <c r="A199" t="s">
        <v>579</v>
      </c>
      <c r="B199" s="2">
        <v>45794</v>
      </c>
      <c r="C199" t="s">
        <v>580</v>
      </c>
      <c r="D199" t="s">
        <v>581</v>
      </c>
      <c r="E199" t="s">
        <v>61</v>
      </c>
      <c r="F199" t="s">
        <v>53</v>
      </c>
      <c r="G199" t="s">
        <v>54</v>
      </c>
      <c r="H199" t="s">
        <v>44</v>
      </c>
      <c r="I199" t="s">
        <v>140</v>
      </c>
      <c r="J199" t="s">
        <v>46</v>
      </c>
      <c r="K199">
        <v>4</v>
      </c>
      <c r="L199" s="3">
        <v>265200</v>
      </c>
      <c r="M199" s="3">
        <v>829600</v>
      </c>
      <c r="N199" s="3">
        <v>1060800</v>
      </c>
      <c r="O199" s="4">
        <v>0</v>
      </c>
      <c r="P199" s="3">
        <v>0</v>
      </c>
      <c r="Q199" s="3">
        <v>1060800</v>
      </c>
      <c r="R199" s="3">
        <v>231200</v>
      </c>
      <c r="S199" t="s">
        <v>57</v>
      </c>
      <c r="T199" t="s">
        <v>48</v>
      </c>
      <c r="U199" t="s">
        <v>49</v>
      </c>
      <c r="V199" s="5">
        <v>0.21794871794871801</v>
      </c>
    </row>
    <row r="200" spans="1:22" x14ac:dyDescent="0.35">
      <c r="A200" t="s">
        <v>582</v>
      </c>
      <c r="B200" s="2">
        <v>45798</v>
      </c>
      <c r="C200" t="s">
        <v>583</v>
      </c>
      <c r="D200" t="s">
        <v>253</v>
      </c>
      <c r="E200" t="s">
        <v>61</v>
      </c>
      <c r="F200" t="s">
        <v>125</v>
      </c>
      <c r="G200" t="s">
        <v>126</v>
      </c>
      <c r="H200" t="s">
        <v>64</v>
      </c>
      <c r="I200" t="s">
        <v>103</v>
      </c>
      <c r="J200" t="s">
        <v>46</v>
      </c>
      <c r="K200">
        <v>4</v>
      </c>
      <c r="L200" s="3">
        <v>697300</v>
      </c>
      <c r="M200" s="3">
        <v>2105600</v>
      </c>
      <c r="N200" s="3">
        <v>2789200</v>
      </c>
      <c r="O200" s="4">
        <v>0</v>
      </c>
      <c r="P200" s="3">
        <v>0</v>
      </c>
      <c r="Q200" s="3">
        <v>2789200</v>
      </c>
      <c r="R200" s="3">
        <v>683600</v>
      </c>
      <c r="S200" t="s">
        <v>121</v>
      </c>
      <c r="T200" t="s">
        <v>48</v>
      </c>
      <c r="U200" t="s">
        <v>49</v>
      </c>
      <c r="V200" s="5">
        <v>0.24508819733256851</v>
      </c>
    </row>
    <row r="201" spans="1:22" x14ac:dyDescent="0.35">
      <c r="A201" t="s">
        <v>584</v>
      </c>
      <c r="B201" s="2">
        <v>45798</v>
      </c>
      <c r="C201" t="s">
        <v>585</v>
      </c>
      <c r="D201" t="s">
        <v>586</v>
      </c>
      <c r="E201" t="s">
        <v>61</v>
      </c>
      <c r="F201" t="s">
        <v>111</v>
      </c>
      <c r="G201" t="s">
        <v>112</v>
      </c>
      <c r="H201" t="s">
        <v>74</v>
      </c>
      <c r="I201" t="s">
        <v>113</v>
      </c>
      <c r="J201" t="s">
        <v>66</v>
      </c>
      <c r="K201">
        <v>6</v>
      </c>
      <c r="L201" s="3">
        <v>208000</v>
      </c>
      <c r="M201" s="3">
        <v>907800</v>
      </c>
      <c r="N201" s="3">
        <v>1248000</v>
      </c>
      <c r="O201" s="4">
        <v>0</v>
      </c>
      <c r="P201" s="3">
        <v>0</v>
      </c>
      <c r="Q201" s="3">
        <v>1248000</v>
      </c>
      <c r="R201" s="3">
        <v>340200</v>
      </c>
      <c r="S201" t="s">
        <v>47</v>
      </c>
      <c r="T201" t="s">
        <v>48</v>
      </c>
      <c r="U201" t="s">
        <v>49</v>
      </c>
      <c r="V201" s="5">
        <v>0.27259615384615382</v>
      </c>
    </row>
    <row r="202" spans="1:22" x14ac:dyDescent="0.35">
      <c r="A202" t="s">
        <v>587</v>
      </c>
      <c r="B202" s="2">
        <v>45798</v>
      </c>
      <c r="C202" t="s">
        <v>51</v>
      </c>
      <c r="D202" t="s">
        <v>588</v>
      </c>
      <c r="E202" t="s">
        <v>61</v>
      </c>
      <c r="F202" t="s">
        <v>111</v>
      </c>
      <c r="G202" t="s">
        <v>112</v>
      </c>
      <c r="H202" t="s">
        <v>74</v>
      </c>
      <c r="I202" t="s">
        <v>113</v>
      </c>
      <c r="J202" t="s">
        <v>66</v>
      </c>
      <c r="K202">
        <v>2</v>
      </c>
      <c r="L202" s="3">
        <v>207000</v>
      </c>
      <c r="M202" s="3">
        <v>306000</v>
      </c>
      <c r="N202" s="3">
        <v>414000</v>
      </c>
      <c r="O202" s="4">
        <v>0</v>
      </c>
      <c r="P202" s="3">
        <v>0</v>
      </c>
      <c r="Q202" s="3">
        <v>414000</v>
      </c>
      <c r="R202" s="3">
        <v>108000</v>
      </c>
      <c r="S202" t="s">
        <v>57</v>
      </c>
      <c r="T202" t="s">
        <v>77</v>
      </c>
      <c r="U202" t="s">
        <v>49</v>
      </c>
      <c r="V202" s="5">
        <v>0.2608695652173913</v>
      </c>
    </row>
    <row r="203" spans="1:22" x14ac:dyDescent="0.35">
      <c r="A203" t="s">
        <v>589</v>
      </c>
      <c r="B203" s="2">
        <v>45798</v>
      </c>
      <c r="C203" t="s">
        <v>590</v>
      </c>
      <c r="D203" t="s">
        <v>155</v>
      </c>
      <c r="E203" t="s">
        <v>41</v>
      </c>
      <c r="F203" t="s">
        <v>200</v>
      </c>
      <c r="G203" t="s">
        <v>201</v>
      </c>
      <c r="H203" t="s">
        <v>99</v>
      </c>
      <c r="I203" t="s">
        <v>113</v>
      </c>
      <c r="J203" t="s">
        <v>66</v>
      </c>
      <c r="K203">
        <v>6</v>
      </c>
      <c r="L203" s="3">
        <v>201800</v>
      </c>
      <c r="M203" s="3">
        <v>879600</v>
      </c>
      <c r="N203" s="3">
        <v>1210800</v>
      </c>
      <c r="O203" s="4">
        <v>0</v>
      </c>
      <c r="P203" s="3">
        <v>0</v>
      </c>
      <c r="Q203" s="3">
        <v>1210800</v>
      </c>
      <c r="R203" s="3">
        <v>331200</v>
      </c>
      <c r="S203" t="s">
        <v>47</v>
      </c>
      <c r="T203" t="s">
        <v>48</v>
      </c>
      <c r="U203" t="s">
        <v>68</v>
      </c>
      <c r="V203" s="5">
        <v>0.27353815659068392</v>
      </c>
    </row>
    <row r="204" spans="1:22" x14ac:dyDescent="0.35">
      <c r="A204" t="s">
        <v>591</v>
      </c>
      <c r="B204" s="2">
        <v>45799</v>
      </c>
      <c r="C204" t="s">
        <v>592</v>
      </c>
      <c r="D204" t="s">
        <v>593</v>
      </c>
      <c r="E204" t="s">
        <v>61</v>
      </c>
      <c r="F204" t="s">
        <v>195</v>
      </c>
      <c r="G204" t="s">
        <v>195</v>
      </c>
      <c r="H204" t="s">
        <v>196</v>
      </c>
      <c r="I204" t="s">
        <v>113</v>
      </c>
      <c r="J204" t="s">
        <v>66</v>
      </c>
      <c r="K204">
        <v>2</v>
      </c>
      <c r="L204" s="3">
        <v>193400</v>
      </c>
      <c r="M204" s="3">
        <v>303000</v>
      </c>
      <c r="N204" s="3">
        <v>386800</v>
      </c>
      <c r="O204" s="4">
        <v>0</v>
      </c>
      <c r="P204" s="3">
        <v>0</v>
      </c>
      <c r="Q204" s="3">
        <v>386800</v>
      </c>
      <c r="R204" s="3">
        <v>83800</v>
      </c>
      <c r="S204" t="s">
        <v>47</v>
      </c>
      <c r="T204" t="s">
        <v>48</v>
      </c>
      <c r="U204" t="s">
        <v>49</v>
      </c>
      <c r="V204" s="5">
        <v>0.21664943123061009</v>
      </c>
    </row>
    <row r="205" spans="1:22" x14ac:dyDescent="0.35">
      <c r="A205" t="s">
        <v>594</v>
      </c>
      <c r="B205" s="2">
        <v>45799</v>
      </c>
      <c r="C205" t="s">
        <v>569</v>
      </c>
      <c r="D205" t="s">
        <v>567</v>
      </c>
      <c r="E205" t="s">
        <v>41</v>
      </c>
      <c r="F205" t="s">
        <v>200</v>
      </c>
      <c r="G205" t="s">
        <v>201</v>
      </c>
      <c r="H205" t="s">
        <v>99</v>
      </c>
      <c r="I205" t="s">
        <v>131</v>
      </c>
      <c r="J205" t="s">
        <v>91</v>
      </c>
      <c r="K205">
        <v>7</v>
      </c>
      <c r="L205" s="3">
        <v>118500</v>
      </c>
      <c r="M205" s="3">
        <v>556500</v>
      </c>
      <c r="N205" s="3">
        <v>829500</v>
      </c>
      <c r="O205" s="4">
        <v>0</v>
      </c>
      <c r="P205" s="3">
        <v>0</v>
      </c>
      <c r="Q205" s="3">
        <v>829500</v>
      </c>
      <c r="R205" s="3">
        <v>273000</v>
      </c>
      <c r="S205" t="s">
        <v>121</v>
      </c>
      <c r="T205" t="s">
        <v>48</v>
      </c>
      <c r="U205" t="s">
        <v>49</v>
      </c>
      <c r="V205" s="5">
        <v>0.32911392405063289</v>
      </c>
    </row>
    <row r="206" spans="1:22" x14ac:dyDescent="0.35">
      <c r="A206" t="s">
        <v>595</v>
      </c>
      <c r="B206" s="2">
        <v>45799</v>
      </c>
      <c r="C206" t="s">
        <v>504</v>
      </c>
      <c r="D206" t="s">
        <v>596</v>
      </c>
      <c r="E206" t="s">
        <v>61</v>
      </c>
      <c r="F206" t="s">
        <v>98</v>
      </c>
      <c r="G206" t="s">
        <v>98</v>
      </c>
      <c r="H206" t="s">
        <v>99</v>
      </c>
      <c r="I206" t="s">
        <v>140</v>
      </c>
      <c r="J206" t="s">
        <v>46</v>
      </c>
      <c r="K206">
        <v>3</v>
      </c>
      <c r="L206" s="3">
        <v>300800</v>
      </c>
      <c r="M206" s="3">
        <v>648000</v>
      </c>
      <c r="N206" s="3">
        <v>902400</v>
      </c>
      <c r="O206" s="4">
        <v>0.08</v>
      </c>
      <c r="P206" s="3">
        <v>72192</v>
      </c>
      <c r="Q206" s="3">
        <v>830208</v>
      </c>
      <c r="R206" s="3">
        <v>182208</v>
      </c>
      <c r="S206" t="s">
        <v>121</v>
      </c>
      <c r="T206" t="s">
        <v>48</v>
      </c>
      <c r="U206" t="s">
        <v>49</v>
      </c>
      <c r="V206" s="5">
        <v>0.21947271045328401</v>
      </c>
    </row>
    <row r="207" spans="1:22" x14ac:dyDescent="0.35">
      <c r="A207" t="s">
        <v>597</v>
      </c>
      <c r="B207" s="2">
        <v>45801</v>
      </c>
      <c r="C207" t="s">
        <v>142</v>
      </c>
      <c r="D207" t="s">
        <v>298</v>
      </c>
      <c r="E207" t="s">
        <v>61</v>
      </c>
      <c r="F207" t="s">
        <v>98</v>
      </c>
      <c r="G207" t="s">
        <v>98</v>
      </c>
      <c r="H207" t="s">
        <v>99</v>
      </c>
      <c r="I207" t="s">
        <v>83</v>
      </c>
      <c r="J207" t="s">
        <v>56</v>
      </c>
      <c r="K207">
        <v>3</v>
      </c>
      <c r="L207" s="3">
        <v>43900</v>
      </c>
      <c r="M207" s="3">
        <v>83700</v>
      </c>
      <c r="N207" s="3">
        <v>131700</v>
      </c>
      <c r="O207" s="4">
        <v>0.05</v>
      </c>
      <c r="P207" s="3">
        <v>6585</v>
      </c>
      <c r="Q207" s="3">
        <v>125115</v>
      </c>
      <c r="R207" s="3">
        <v>41415</v>
      </c>
      <c r="S207" t="s">
        <v>121</v>
      </c>
      <c r="T207" t="s">
        <v>48</v>
      </c>
      <c r="U207" t="s">
        <v>49</v>
      </c>
      <c r="V207" s="5">
        <v>0.33101546577149021</v>
      </c>
    </row>
    <row r="208" spans="1:22" x14ac:dyDescent="0.35">
      <c r="A208" t="s">
        <v>598</v>
      </c>
      <c r="B208" s="2">
        <v>45802</v>
      </c>
      <c r="C208" t="s">
        <v>599</v>
      </c>
      <c r="D208" t="s">
        <v>438</v>
      </c>
      <c r="E208" t="s">
        <v>61</v>
      </c>
      <c r="F208" t="s">
        <v>168</v>
      </c>
      <c r="G208" t="s">
        <v>169</v>
      </c>
      <c r="H208" t="s">
        <v>74</v>
      </c>
      <c r="I208" t="s">
        <v>90</v>
      </c>
      <c r="J208" t="s">
        <v>91</v>
      </c>
      <c r="K208">
        <v>4</v>
      </c>
      <c r="L208" s="3">
        <v>185200</v>
      </c>
      <c r="M208" s="3">
        <v>517600</v>
      </c>
      <c r="N208" s="3">
        <v>740800</v>
      </c>
      <c r="O208" s="4">
        <v>0</v>
      </c>
      <c r="P208" s="3">
        <v>0</v>
      </c>
      <c r="Q208" s="3">
        <v>740800</v>
      </c>
      <c r="R208" s="3">
        <v>223200</v>
      </c>
      <c r="S208" t="s">
        <v>67</v>
      </c>
      <c r="T208" t="s">
        <v>48</v>
      </c>
      <c r="U208" t="s">
        <v>49</v>
      </c>
      <c r="V208" s="5">
        <v>0.30129589632829368</v>
      </c>
    </row>
    <row r="209" spans="1:22" x14ac:dyDescent="0.35">
      <c r="A209" t="s">
        <v>600</v>
      </c>
      <c r="B209" s="2">
        <v>45802</v>
      </c>
      <c r="C209" t="s">
        <v>550</v>
      </c>
      <c r="D209" t="s">
        <v>601</v>
      </c>
      <c r="E209" t="s">
        <v>41</v>
      </c>
      <c r="F209" t="s">
        <v>62</v>
      </c>
      <c r="G209" t="s">
        <v>63</v>
      </c>
      <c r="H209" t="s">
        <v>64</v>
      </c>
      <c r="I209" t="s">
        <v>131</v>
      </c>
      <c r="J209" t="s">
        <v>91</v>
      </c>
      <c r="K209">
        <v>5</v>
      </c>
      <c r="L209" s="3">
        <v>119500</v>
      </c>
      <c r="M209" s="3">
        <v>385000</v>
      </c>
      <c r="N209" s="3">
        <v>597500</v>
      </c>
      <c r="O209" s="4">
        <v>0.08</v>
      </c>
      <c r="P209" s="3">
        <v>47800</v>
      </c>
      <c r="Q209" s="3">
        <v>549700</v>
      </c>
      <c r="R209" s="3">
        <v>164700</v>
      </c>
      <c r="S209" t="s">
        <v>47</v>
      </c>
      <c r="T209" t="s">
        <v>107</v>
      </c>
      <c r="U209" t="s">
        <v>49</v>
      </c>
      <c r="V209" s="5">
        <v>0.29961797344005819</v>
      </c>
    </row>
    <row r="210" spans="1:22" x14ac:dyDescent="0.35">
      <c r="A210" t="s">
        <v>602</v>
      </c>
      <c r="B210" s="2">
        <v>45803</v>
      </c>
      <c r="C210" t="s">
        <v>284</v>
      </c>
      <c r="D210" t="s">
        <v>94</v>
      </c>
      <c r="E210" t="s">
        <v>41</v>
      </c>
      <c r="F210" t="s">
        <v>200</v>
      </c>
      <c r="G210" t="s">
        <v>201</v>
      </c>
      <c r="H210" t="s">
        <v>99</v>
      </c>
      <c r="I210" t="s">
        <v>120</v>
      </c>
      <c r="J210" t="s">
        <v>56</v>
      </c>
      <c r="K210">
        <v>1</v>
      </c>
      <c r="L210" s="3">
        <v>82900</v>
      </c>
      <c r="M210" s="3">
        <v>51900</v>
      </c>
      <c r="N210" s="3">
        <v>82900</v>
      </c>
      <c r="O210" s="4">
        <v>0</v>
      </c>
      <c r="P210" s="3">
        <v>0</v>
      </c>
      <c r="Q210" s="3">
        <v>82900</v>
      </c>
      <c r="R210" s="3">
        <v>31000</v>
      </c>
      <c r="S210" t="s">
        <v>121</v>
      </c>
      <c r="T210" t="s">
        <v>77</v>
      </c>
      <c r="U210" t="s">
        <v>49</v>
      </c>
      <c r="V210" s="5">
        <v>0.37394451145958979</v>
      </c>
    </row>
    <row r="211" spans="1:22" x14ac:dyDescent="0.35">
      <c r="A211" t="s">
        <v>603</v>
      </c>
      <c r="B211" s="2">
        <v>45804</v>
      </c>
      <c r="C211" t="s">
        <v>604</v>
      </c>
      <c r="D211" t="s">
        <v>164</v>
      </c>
      <c r="E211" t="s">
        <v>41</v>
      </c>
      <c r="F211" t="s">
        <v>81</v>
      </c>
      <c r="G211" t="s">
        <v>82</v>
      </c>
      <c r="H211" t="s">
        <v>64</v>
      </c>
      <c r="I211" t="s">
        <v>103</v>
      </c>
      <c r="J211" t="s">
        <v>46</v>
      </c>
      <c r="K211">
        <v>7</v>
      </c>
      <c r="L211" s="3">
        <v>606500</v>
      </c>
      <c r="M211" s="3">
        <v>3759700</v>
      </c>
      <c r="N211" s="3">
        <v>4245500</v>
      </c>
      <c r="O211" s="4">
        <v>0.02</v>
      </c>
      <c r="P211" s="3">
        <v>84910</v>
      </c>
      <c r="Q211" s="3">
        <v>4160590</v>
      </c>
      <c r="R211" s="3">
        <v>400890</v>
      </c>
      <c r="S211" t="s">
        <v>67</v>
      </c>
      <c r="T211" t="s">
        <v>77</v>
      </c>
      <c r="U211" t="s">
        <v>49</v>
      </c>
      <c r="V211" s="5">
        <v>9.6354122852768481E-2</v>
      </c>
    </row>
    <row r="212" spans="1:22" x14ac:dyDescent="0.35">
      <c r="A212" t="s">
        <v>605</v>
      </c>
      <c r="B212" s="2">
        <v>45804</v>
      </c>
      <c r="C212" t="s">
        <v>606</v>
      </c>
      <c r="D212" t="s">
        <v>319</v>
      </c>
      <c r="E212" t="s">
        <v>61</v>
      </c>
      <c r="F212" t="s">
        <v>81</v>
      </c>
      <c r="G212" t="s">
        <v>82</v>
      </c>
      <c r="H212" t="s">
        <v>64</v>
      </c>
      <c r="I212" t="s">
        <v>131</v>
      </c>
      <c r="J212" t="s">
        <v>91</v>
      </c>
      <c r="K212">
        <v>2</v>
      </c>
      <c r="L212" s="3">
        <v>127500</v>
      </c>
      <c r="M212" s="3">
        <v>156600</v>
      </c>
      <c r="N212" s="3">
        <v>255000</v>
      </c>
      <c r="O212" s="4">
        <v>0</v>
      </c>
      <c r="P212" s="3">
        <v>0</v>
      </c>
      <c r="Q212" s="3">
        <v>255000</v>
      </c>
      <c r="R212" s="3">
        <v>98400</v>
      </c>
      <c r="S212" t="s">
        <v>47</v>
      </c>
      <c r="T212" t="s">
        <v>48</v>
      </c>
      <c r="U212" t="s">
        <v>49</v>
      </c>
      <c r="V212" s="5">
        <v>0.38588235294117651</v>
      </c>
    </row>
    <row r="213" spans="1:22" x14ac:dyDescent="0.35">
      <c r="A213" t="s">
        <v>607</v>
      </c>
      <c r="B213" s="2">
        <v>45805</v>
      </c>
      <c r="C213" t="s">
        <v>608</v>
      </c>
      <c r="D213" t="s">
        <v>556</v>
      </c>
      <c r="E213" t="s">
        <v>41</v>
      </c>
      <c r="F213" t="s">
        <v>168</v>
      </c>
      <c r="G213" t="s">
        <v>169</v>
      </c>
      <c r="H213" t="s">
        <v>74</v>
      </c>
      <c r="I213" t="s">
        <v>75</v>
      </c>
      <c r="J213" t="s">
        <v>56</v>
      </c>
      <c r="K213">
        <v>1</v>
      </c>
      <c r="L213" s="3">
        <v>62200</v>
      </c>
      <c r="M213" s="3">
        <v>41700</v>
      </c>
      <c r="N213" s="3">
        <v>62200</v>
      </c>
      <c r="O213" s="4">
        <v>0</v>
      </c>
      <c r="P213" s="3">
        <v>0</v>
      </c>
      <c r="Q213" s="3">
        <v>62200</v>
      </c>
      <c r="R213" s="3">
        <v>20500</v>
      </c>
      <c r="S213" t="s">
        <v>47</v>
      </c>
      <c r="T213" t="s">
        <v>77</v>
      </c>
      <c r="U213" t="s">
        <v>49</v>
      </c>
      <c r="V213" s="5">
        <v>0.32958199356913181</v>
      </c>
    </row>
    <row r="214" spans="1:22" x14ac:dyDescent="0.35">
      <c r="A214" t="s">
        <v>609</v>
      </c>
      <c r="B214" s="2">
        <v>45805</v>
      </c>
      <c r="C214" t="s">
        <v>136</v>
      </c>
      <c r="D214" t="s">
        <v>610</v>
      </c>
      <c r="E214" t="s">
        <v>61</v>
      </c>
      <c r="F214" t="s">
        <v>62</v>
      </c>
      <c r="G214" t="s">
        <v>63</v>
      </c>
      <c r="H214" t="s">
        <v>64</v>
      </c>
      <c r="I214" t="s">
        <v>55</v>
      </c>
      <c r="J214" t="s">
        <v>56</v>
      </c>
      <c r="K214">
        <v>8</v>
      </c>
      <c r="L214" s="3">
        <v>37600</v>
      </c>
      <c r="M214" s="3">
        <v>163200</v>
      </c>
      <c r="N214" s="3">
        <v>300800</v>
      </c>
      <c r="O214" s="4">
        <v>0.02</v>
      </c>
      <c r="P214" s="3">
        <v>6016</v>
      </c>
      <c r="Q214" s="3">
        <v>294784</v>
      </c>
      <c r="R214" s="3">
        <v>131584</v>
      </c>
      <c r="S214" t="s">
        <v>121</v>
      </c>
      <c r="T214" t="s">
        <v>48</v>
      </c>
      <c r="U214" t="s">
        <v>49</v>
      </c>
      <c r="V214" s="5">
        <v>0.44637429439861048</v>
      </c>
    </row>
    <row r="215" spans="1:22" x14ac:dyDescent="0.35">
      <c r="A215" t="s">
        <v>611</v>
      </c>
      <c r="B215" s="2">
        <v>45806</v>
      </c>
      <c r="C215" t="s">
        <v>612</v>
      </c>
      <c r="D215" t="s">
        <v>613</v>
      </c>
      <c r="E215" t="s">
        <v>41</v>
      </c>
      <c r="F215" t="s">
        <v>62</v>
      </c>
      <c r="G215" t="s">
        <v>63</v>
      </c>
      <c r="H215" t="s">
        <v>64</v>
      </c>
      <c r="I215" t="s">
        <v>75</v>
      </c>
      <c r="J215" t="s">
        <v>56</v>
      </c>
      <c r="K215">
        <v>1</v>
      </c>
      <c r="L215" s="3">
        <v>60300</v>
      </c>
      <c r="M215" s="3">
        <v>41100</v>
      </c>
      <c r="N215" s="3">
        <v>60300</v>
      </c>
      <c r="O215" s="4">
        <v>0</v>
      </c>
      <c r="P215" s="3">
        <v>0</v>
      </c>
      <c r="Q215" s="3">
        <v>60300</v>
      </c>
      <c r="R215" s="3">
        <v>19200</v>
      </c>
      <c r="S215" t="s">
        <v>57</v>
      </c>
      <c r="T215" t="s">
        <v>48</v>
      </c>
      <c r="U215" t="s">
        <v>49</v>
      </c>
      <c r="V215" s="5">
        <v>0.31840796019900502</v>
      </c>
    </row>
    <row r="216" spans="1:22" x14ac:dyDescent="0.35">
      <c r="A216" t="s">
        <v>614</v>
      </c>
      <c r="B216" s="2">
        <v>45807</v>
      </c>
      <c r="C216" t="s">
        <v>585</v>
      </c>
      <c r="D216" t="s">
        <v>615</v>
      </c>
      <c r="E216" t="s">
        <v>41</v>
      </c>
      <c r="F216" t="s">
        <v>81</v>
      </c>
      <c r="G216" t="s">
        <v>82</v>
      </c>
      <c r="H216" t="s">
        <v>64</v>
      </c>
      <c r="I216" t="s">
        <v>55</v>
      </c>
      <c r="J216" t="s">
        <v>56</v>
      </c>
      <c r="K216">
        <v>4</v>
      </c>
      <c r="L216" s="3">
        <v>34500</v>
      </c>
      <c r="M216" s="3">
        <v>80800</v>
      </c>
      <c r="N216" s="3">
        <v>138000</v>
      </c>
      <c r="O216" s="4">
        <v>0.02</v>
      </c>
      <c r="P216" s="3">
        <v>2760</v>
      </c>
      <c r="Q216" s="3">
        <v>135240</v>
      </c>
      <c r="R216" s="3">
        <v>54440</v>
      </c>
      <c r="S216" t="s">
        <v>67</v>
      </c>
      <c r="T216" t="s">
        <v>48</v>
      </c>
      <c r="U216" t="s">
        <v>49</v>
      </c>
      <c r="V216" s="5">
        <v>0.40254362614611061</v>
      </c>
    </row>
    <row r="217" spans="1:22" x14ac:dyDescent="0.35">
      <c r="A217" t="s">
        <v>616</v>
      </c>
      <c r="B217" s="2">
        <v>45807</v>
      </c>
      <c r="C217" t="s">
        <v>51</v>
      </c>
      <c r="D217" t="s">
        <v>617</v>
      </c>
      <c r="E217" t="s">
        <v>41</v>
      </c>
      <c r="F217" t="s">
        <v>200</v>
      </c>
      <c r="G217" t="s">
        <v>201</v>
      </c>
      <c r="H217" t="s">
        <v>99</v>
      </c>
      <c r="I217" t="s">
        <v>90</v>
      </c>
      <c r="J217" t="s">
        <v>91</v>
      </c>
      <c r="K217">
        <v>8</v>
      </c>
      <c r="L217" s="3">
        <v>183400</v>
      </c>
      <c r="M217" s="3">
        <v>966400</v>
      </c>
      <c r="N217" s="3">
        <v>1467200</v>
      </c>
      <c r="O217" s="4">
        <v>0</v>
      </c>
      <c r="P217" s="3">
        <v>0</v>
      </c>
      <c r="Q217" s="3">
        <v>1467200</v>
      </c>
      <c r="R217" s="3">
        <v>500800</v>
      </c>
      <c r="S217" t="s">
        <v>121</v>
      </c>
      <c r="T217" t="s">
        <v>107</v>
      </c>
      <c r="U217" t="s">
        <v>49</v>
      </c>
      <c r="V217" s="5">
        <v>0.34133042529989088</v>
      </c>
    </row>
    <row r="218" spans="1:22" x14ac:dyDescent="0.35">
      <c r="A218" t="s">
        <v>618</v>
      </c>
      <c r="B218" s="2">
        <v>45808</v>
      </c>
      <c r="C218" t="s">
        <v>619</v>
      </c>
      <c r="D218" t="s">
        <v>620</v>
      </c>
      <c r="E218" t="s">
        <v>61</v>
      </c>
      <c r="F218" t="s">
        <v>111</v>
      </c>
      <c r="G218" t="s">
        <v>112</v>
      </c>
      <c r="H218" t="s">
        <v>74</v>
      </c>
      <c r="I218" t="s">
        <v>65</v>
      </c>
      <c r="J218" t="s">
        <v>66</v>
      </c>
      <c r="K218">
        <v>3</v>
      </c>
      <c r="L218" s="3">
        <v>157400</v>
      </c>
      <c r="M218" s="3">
        <v>326100</v>
      </c>
      <c r="N218" s="3">
        <v>472200</v>
      </c>
      <c r="O218" s="4">
        <v>0.08</v>
      </c>
      <c r="P218" s="3">
        <v>37776</v>
      </c>
      <c r="Q218" s="3">
        <v>434424</v>
      </c>
      <c r="R218" s="3">
        <v>108324</v>
      </c>
      <c r="S218" t="s">
        <v>67</v>
      </c>
      <c r="T218" t="s">
        <v>107</v>
      </c>
      <c r="U218" t="s">
        <v>49</v>
      </c>
      <c r="V218" s="5">
        <v>0.24935086459311639</v>
      </c>
    </row>
    <row r="219" spans="1:22" x14ac:dyDescent="0.35">
      <c r="A219" t="s">
        <v>621</v>
      </c>
      <c r="B219" s="2">
        <v>45808</v>
      </c>
      <c r="C219" t="s">
        <v>622</v>
      </c>
      <c r="D219" t="s">
        <v>623</v>
      </c>
      <c r="E219" t="s">
        <v>41</v>
      </c>
      <c r="F219" t="s">
        <v>125</v>
      </c>
      <c r="G219" t="s">
        <v>126</v>
      </c>
      <c r="H219" t="s">
        <v>64</v>
      </c>
      <c r="I219" t="s">
        <v>90</v>
      </c>
      <c r="J219" t="s">
        <v>91</v>
      </c>
      <c r="K219">
        <v>7</v>
      </c>
      <c r="L219" s="3">
        <v>175000</v>
      </c>
      <c r="M219" s="3">
        <v>872900</v>
      </c>
      <c r="N219" s="3">
        <v>1225000</v>
      </c>
      <c r="O219" s="4">
        <v>0</v>
      </c>
      <c r="P219" s="3">
        <v>0</v>
      </c>
      <c r="Q219" s="3">
        <v>0</v>
      </c>
      <c r="R219" s="3">
        <v>0</v>
      </c>
      <c r="S219" t="s">
        <v>76</v>
      </c>
      <c r="T219" t="s">
        <v>48</v>
      </c>
      <c r="U219" t="s">
        <v>127</v>
      </c>
      <c r="V219" s="5">
        <v>0</v>
      </c>
    </row>
    <row r="220" spans="1:22" x14ac:dyDescent="0.35">
      <c r="A220" t="s">
        <v>624</v>
      </c>
      <c r="B220" s="2">
        <v>45811</v>
      </c>
      <c r="C220" t="s">
        <v>85</v>
      </c>
      <c r="D220" t="s">
        <v>625</v>
      </c>
      <c r="E220" t="s">
        <v>41</v>
      </c>
      <c r="F220" t="s">
        <v>72</v>
      </c>
      <c r="G220" t="s">
        <v>73</v>
      </c>
      <c r="H220" t="s">
        <v>74</v>
      </c>
      <c r="I220" t="s">
        <v>156</v>
      </c>
      <c r="J220" t="s">
        <v>91</v>
      </c>
      <c r="K220">
        <v>5</v>
      </c>
      <c r="L220" s="3">
        <v>229600</v>
      </c>
      <c r="M220" s="3">
        <v>856500</v>
      </c>
      <c r="N220" s="3">
        <v>1148000</v>
      </c>
      <c r="O220" s="4">
        <v>0.02</v>
      </c>
      <c r="P220" s="3">
        <v>22960</v>
      </c>
      <c r="Q220" s="3">
        <v>1125040</v>
      </c>
      <c r="R220" s="3">
        <v>268540</v>
      </c>
      <c r="S220" t="s">
        <v>47</v>
      </c>
      <c r="T220" t="s">
        <v>48</v>
      </c>
      <c r="U220" t="s">
        <v>49</v>
      </c>
      <c r="V220" s="5">
        <v>0.2386937353338548</v>
      </c>
    </row>
    <row r="221" spans="1:22" x14ac:dyDescent="0.35">
      <c r="A221" t="s">
        <v>626</v>
      </c>
      <c r="B221" s="2">
        <v>45813</v>
      </c>
      <c r="C221" t="s">
        <v>627</v>
      </c>
      <c r="D221" t="s">
        <v>628</v>
      </c>
      <c r="E221" t="s">
        <v>61</v>
      </c>
      <c r="F221" t="s">
        <v>53</v>
      </c>
      <c r="G221" t="s">
        <v>54</v>
      </c>
      <c r="H221" t="s">
        <v>44</v>
      </c>
      <c r="I221" t="s">
        <v>83</v>
      </c>
      <c r="J221" t="s">
        <v>56</v>
      </c>
      <c r="K221">
        <v>4</v>
      </c>
      <c r="L221" s="3">
        <v>47500</v>
      </c>
      <c r="M221" s="3">
        <v>116400</v>
      </c>
      <c r="N221" s="3">
        <v>190000</v>
      </c>
      <c r="O221" s="4">
        <v>0.05</v>
      </c>
      <c r="P221" s="3">
        <v>9500</v>
      </c>
      <c r="Q221" s="3">
        <v>180500</v>
      </c>
      <c r="R221" s="3">
        <v>64100</v>
      </c>
      <c r="S221" t="s">
        <v>57</v>
      </c>
      <c r="T221" t="s">
        <v>107</v>
      </c>
      <c r="U221" t="s">
        <v>68</v>
      </c>
      <c r="V221" s="5">
        <v>0.35512465373961222</v>
      </c>
    </row>
    <row r="222" spans="1:22" x14ac:dyDescent="0.35">
      <c r="A222" t="s">
        <v>629</v>
      </c>
      <c r="B222" s="2">
        <v>45813</v>
      </c>
      <c r="C222" t="s">
        <v>334</v>
      </c>
      <c r="D222" t="s">
        <v>630</v>
      </c>
      <c r="E222" t="s">
        <v>61</v>
      </c>
      <c r="F222" t="s">
        <v>72</v>
      </c>
      <c r="G222" t="s">
        <v>73</v>
      </c>
      <c r="H222" t="s">
        <v>74</v>
      </c>
      <c r="I222" t="s">
        <v>55</v>
      </c>
      <c r="J222" t="s">
        <v>56</v>
      </c>
      <c r="K222">
        <v>6</v>
      </c>
      <c r="L222" s="3">
        <v>37000</v>
      </c>
      <c r="M222" s="3">
        <v>127200</v>
      </c>
      <c r="N222" s="3">
        <v>222000</v>
      </c>
      <c r="O222" s="4">
        <v>0.05</v>
      </c>
      <c r="P222" s="3">
        <v>11100</v>
      </c>
      <c r="Q222" s="3">
        <v>210900</v>
      </c>
      <c r="R222" s="3">
        <v>83700</v>
      </c>
      <c r="S222" t="s">
        <v>76</v>
      </c>
      <c r="T222" t="s">
        <v>77</v>
      </c>
      <c r="U222" t="s">
        <v>49</v>
      </c>
      <c r="V222" s="5">
        <v>0.39687055476529159</v>
      </c>
    </row>
    <row r="223" spans="1:22" x14ac:dyDescent="0.35">
      <c r="A223" t="s">
        <v>631</v>
      </c>
      <c r="B223" s="2">
        <v>45814</v>
      </c>
      <c r="C223" t="s">
        <v>571</v>
      </c>
      <c r="D223" t="s">
        <v>272</v>
      </c>
      <c r="E223" t="s">
        <v>61</v>
      </c>
      <c r="F223" t="s">
        <v>195</v>
      </c>
      <c r="G223" t="s">
        <v>195</v>
      </c>
      <c r="H223" t="s">
        <v>196</v>
      </c>
      <c r="I223" t="s">
        <v>140</v>
      </c>
      <c r="J223" t="s">
        <v>46</v>
      </c>
      <c r="K223">
        <v>8</v>
      </c>
      <c r="L223" s="3">
        <v>287000</v>
      </c>
      <c r="M223" s="3">
        <v>1784800</v>
      </c>
      <c r="N223" s="3">
        <v>2296000</v>
      </c>
      <c r="O223" s="4">
        <v>0.05</v>
      </c>
      <c r="P223" s="3">
        <v>114800</v>
      </c>
      <c r="Q223" s="3">
        <v>2181200</v>
      </c>
      <c r="R223" s="3">
        <v>396400</v>
      </c>
      <c r="S223" t="s">
        <v>47</v>
      </c>
      <c r="T223" t="s">
        <v>77</v>
      </c>
      <c r="U223" t="s">
        <v>49</v>
      </c>
      <c r="V223" s="5">
        <v>0.1817348248670457</v>
      </c>
    </row>
    <row r="224" spans="1:22" x14ac:dyDescent="0.35">
      <c r="A224" t="s">
        <v>632</v>
      </c>
      <c r="B224" s="2">
        <v>45815</v>
      </c>
      <c r="C224" t="s">
        <v>633</v>
      </c>
      <c r="D224" t="s">
        <v>578</v>
      </c>
      <c r="E224" t="s">
        <v>61</v>
      </c>
      <c r="F224" t="s">
        <v>168</v>
      </c>
      <c r="G224" t="s">
        <v>169</v>
      </c>
      <c r="H224" t="s">
        <v>74</v>
      </c>
      <c r="I224" t="s">
        <v>120</v>
      </c>
      <c r="J224" t="s">
        <v>56</v>
      </c>
      <c r="K224">
        <v>5</v>
      </c>
      <c r="L224" s="3">
        <v>80600</v>
      </c>
      <c r="M224" s="3">
        <v>264000</v>
      </c>
      <c r="N224" s="3">
        <v>403000</v>
      </c>
      <c r="O224" s="4">
        <v>0</v>
      </c>
      <c r="P224" s="3">
        <v>0</v>
      </c>
      <c r="Q224" s="3">
        <v>403000</v>
      </c>
      <c r="R224" s="3">
        <v>139000</v>
      </c>
      <c r="S224" t="s">
        <v>121</v>
      </c>
      <c r="T224" t="s">
        <v>77</v>
      </c>
      <c r="U224" t="s">
        <v>49</v>
      </c>
      <c r="V224" s="5">
        <v>0.34491315136476419</v>
      </c>
    </row>
    <row r="225" spans="1:22" x14ac:dyDescent="0.35">
      <c r="A225" t="s">
        <v>634</v>
      </c>
      <c r="B225" s="2">
        <v>45816</v>
      </c>
      <c r="C225" t="s">
        <v>504</v>
      </c>
      <c r="D225" t="s">
        <v>635</v>
      </c>
      <c r="E225" t="s">
        <v>61</v>
      </c>
      <c r="F225" t="s">
        <v>168</v>
      </c>
      <c r="G225" t="s">
        <v>169</v>
      </c>
      <c r="H225" t="s">
        <v>74</v>
      </c>
      <c r="I225" t="s">
        <v>65</v>
      </c>
      <c r="J225" t="s">
        <v>66</v>
      </c>
      <c r="K225">
        <v>7</v>
      </c>
      <c r="L225" s="3">
        <v>163400</v>
      </c>
      <c r="M225" s="3">
        <v>779100</v>
      </c>
      <c r="N225" s="3">
        <v>1143800</v>
      </c>
      <c r="O225" s="4">
        <v>0.02</v>
      </c>
      <c r="P225" s="3">
        <v>22876</v>
      </c>
      <c r="Q225" s="3">
        <v>1120924</v>
      </c>
      <c r="R225" s="3">
        <v>341824</v>
      </c>
      <c r="S225" t="s">
        <v>57</v>
      </c>
      <c r="T225" t="s">
        <v>48</v>
      </c>
      <c r="U225" t="s">
        <v>49</v>
      </c>
      <c r="V225" s="5">
        <v>0.30494841755551672</v>
      </c>
    </row>
    <row r="226" spans="1:22" x14ac:dyDescent="0.35">
      <c r="A226" t="s">
        <v>636</v>
      </c>
      <c r="B226" s="2">
        <v>45817</v>
      </c>
      <c r="C226" t="s">
        <v>637</v>
      </c>
      <c r="D226" t="s">
        <v>171</v>
      </c>
      <c r="E226" t="s">
        <v>41</v>
      </c>
      <c r="F226" t="s">
        <v>81</v>
      </c>
      <c r="G226" t="s">
        <v>82</v>
      </c>
      <c r="H226" t="s">
        <v>64</v>
      </c>
      <c r="I226" t="s">
        <v>131</v>
      </c>
      <c r="J226" t="s">
        <v>91</v>
      </c>
      <c r="K226">
        <v>5</v>
      </c>
      <c r="L226" s="3">
        <v>127300</v>
      </c>
      <c r="M226" s="3">
        <v>401500</v>
      </c>
      <c r="N226" s="3">
        <v>636500</v>
      </c>
      <c r="O226" s="4">
        <v>0</v>
      </c>
      <c r="P226" s="3">
        <v>0</v>
      </c>
      <c r="Q226" s="3">
        <v>636500</v>
      </c>
      <c r="R226" s="3">
        <v>235000</v>
      </c>
      <c r="S226" t="s">
        <v>76</v>
      </c>
      <c r="T226" t="s">
        <v>48</v>
      </c>
      <c r="U226" t="s">
        <v>49</v>
      </c>
      <c r="V226" s="5">
        <v>0.36920659858601729</v>
      </c>
    </row>
    <row r="227" spans="1:22" x14ac:dyDescent="0.35">
      <c r="A227" t="s">
        <v>638</v>
      </c>
      <c r="B227" s="2">
        <v>45819</v>
      </c>
      <c r="C227" t="s">
        <v>109</v>
      </c>
      <c r="D227" t="s">
        <v>362</v>
      </c>
      <c r="E227" t="s">
        <v>61</v>
      </c>
      <c r="F227" t="s">
        <v>72</v>
      </c>
      <c r="G227" t="s">
        <v>73</v>
      </c>
      <c r="H227" t="s">
        <v>74</v>
      </c>
      <c r="I227" t="s">
        <v>55</v>
      </c>
      <c r="J227" t="s">
        <v>56</v>
      </c>
      <c r="K227">
        <v>5</v>
      </c>
      <c r="L227" s="3">
        <v>37500</v>
      </c>
      <c r="M227" s="3">
        <v>105000</v>
      </c>
      <c r="N227" s="3">
        <v>187500</v>
      </c>
      <c r="O227" s="4">
        <v>0</v>
      </c>
      <c r="P227" s="3">
        <v>0</v>
      </c>
      <c r="Q227" s="3">
        <v>187500</v>
      </c>
      <c r="R227" s="3">
        <v>82500</v>
      </c>
      <c r="S227" t="s">
        <v>47</v>
      </c>
      <c r="T227" t="s">
        <v>48</v>
      </c>
      <c r="U227" t="s">
        <v>49</v>
      </c>
      <c r="V227" s="5">
        <v>0.44</v>
      </c>
    </row>
    <row r="228" spans="1:22" x14ac:dyDescent="0.35">
      <c r="A228" t="s">
        <v>639</v>
      </c>
      <c r="B228" s="2">
        <v>45822</v>
      </c>
      <c r="C228" t="s">
        <v>640</v>
      </c>
      <c r="D228" t="s">
        <v>641</v>
      </c>
      <c r="E228" t="s">
        <v>41</v>
      </c>
      <c r="F228" t="s">
        <v>98</v>
      </c>
      <c r="G228" t="s">
        <v>98</v>
      </c>
      <c r="H228" t="s">
        <v>99</v>
      </c>
      <c r="I228" t="s">
        <v>55</v>
      </c>
      <c r="J228" t="s">
        <v>56</v>
      </c>
      <c r="K228">
        <v>4</v>
      </c>
      <c r="L228" s="3">
        <v>36500</v>
      </c>
      <c r="M228" s="3">
        <v>85600</v>
      </c>
      <c r="N228" s="3">
        <v>146000</v>
      </c>
      <c r="O228" s="4">
        <v>0</v>
      </c>
      <c r="P228" s="3">
        <v>0</v>
      </c>
      <c r="Q228" s="3">
        <v>146000</v>
      </c>
      <c r="R228" s="3">
        <v>60400</v>
      </c>
      <c r="S228" t="s">
        <v>121</v>
      </c>
      <c r="T228" t="s">
        <v>107</v>
      </c>
      <c r="U228" t="s">
        <v>49</v>
      </c>
      <c r="V228" s="5">
        <v>0.41369863013698632</v>
      </c>
    </row>
    <row r="229" spans="1:22" x14ac:dyDescent="0.35">
      <c r="A229" t="s">
        <v>642</v>
      </c>
      <c r="B229" s="2">
        <v>45823</v>
      </c>
      <c r="C229" t="s">
        <v>473</v>
      </c>
      <c r="D229" t="s">
        <v>229</v>
      </c>
      <c r="E229" t="s">
        <v>41</v>
      </c>
      <c r="F229" t="s">
        <v>200</v>
      </c>
      <c r="G229" t="s">
        <v>201</v>
      </c>
      <c r="H229" t="s">
        <v>99</v>
      </c>
      <c r="I229" t="s">
        <v>103</v>
      </c>
      <c r="J229" t="s">
        <v>46</v>
      </c>
      <c r="K229">
        <v>1</v>
      </c>
      <c r="L229" s="3">
        <v>678500</v>
      </c>
      <c r="M229" s="3">
        <v>504800</v>
      </c>
      <c r="N229" s="3">
        <v>678500</v>
      </c>
      <c r="O229" s="4">
        <v>0.02</v>
      </c>
      <c r="P229" s="3">
        <v>13570</v>
      </c>
      <c r="Q229" s="3">
        <v>664930</v>
      </c>
      <c r="R229" s="3">
        <v>160130</v>
      </c>
      <c r="S229" t="s">
        <v>47</v>
      </c>
      <c r="T229" t="s">
        <v>77</v>
      </c>
      <c r="U229" t="s">
        <v>49</v>
      </c>
      <c r="V229" s="5">
        <v>0.2408223422014347</v>
      </c>
    </row>
    <row r="230" spans="1:22" x14ac:dyDescent="0.35">
      <c r="A230" t="s">
        <v>643</v>
      </c>
      <c r="B230" s="2">
        <v>45825</v>
      </c>
      <c r="C230" t="s">
        <v>538</v>
      </c>
      <c r="D230" t="s">
        <v>350</v>
      </c>
      <c r="E230" t="s">
        <v>41</v>
      </c>
      <c r="F230" t="s">
        <v>98</v>
      </c>
      <c r="G230" t="s">
        <v>98</v>
      </c>
      <c r="H230" t="s">
        <v>99</v>
      </c>
      <c r="I230" t="s">
        <v>156</v>
      </c>
      <c r="J230" t="s">
        <v>91</v>
      </c>
      <c r="K230">
        <v>3</v>
      </c>
      <c r="L230" s="3">
        <v>238200</v>
      </c>
      <c r="M230" s="3">
        <v>500100</v>
      </c>
      <c r="N230" s="3">
        <v>714600</v>
      </c>
      <c r="O230" s="4">
        <v>0</v>
      </c>
      <c r="P230" s="3">
        <v>0</v>
      </c>
      <c r="Q230" s="3">
        <v>714600</v>
      </c>
      <c r="R230" s="3">
        <v>214500</v>
      </c>
      <c r="S230" t="s">
        <v>47</v>
      </c>
      <c r="T230" t="s">
        <v>77</v>
      </c>
      <c r="U230" t="s">
        <v>49</v>
      </c>
      <c r="V230" s="5">
        <v>0.30016792611251047</v>
      </c>
    </row>
    <row r="231" spans="1:22" x14ac:dyDescent="0.35">
      <c r="A231" t="s">
        <v>644</v>
      </c>
      <c r="B231" s="2">
        <v>45825</v>
      </c>
      <c r="C231" t="s">
        <v>96</v>
      </c>
      <c r="D231" t="s">
        <v>645</v>
      </c>
      <c r="E231" t="s">
        <v>41</v>
      </c>
      <c r="F231" t="s">
        <v>62</v>
      </c>
      <c r="G231" t="s">
        <v>63</v>
      </c>
      <c r="H231" t="s">
        <v>64</v>
      </c>
      <c r="I231" t="s">
        <v>55</v>
      </c>
      <c r="J231" t="s">
        <v>56</v>
      </c>
      <c r="K231">
        <v>7</v>
      </c>
      <c r="L231" s="3">
        <v>36500</v>
      </c>
      <c r="M231" s="3">
        <v>147000</v>
      </c>
      <c r="N231" s="3">
        <v>255500</v>
      </c>
      <c r="O231" s="4">
        <v>0.08</v>
      </c>
      <c r="P231" s="3">
        <v>20440</v>
      </c>
      <c r="Q231" s="3">
        <v>235060</v>
      </c>
      <c r="R231" s="3">
        <v>88060</v>
      </c>
      <c r="S231" t="s">
        <v>76</v>
      </c>
      <c r="T231" t="s">
        <v>48</v>
      </c>
      <c r="U231" t="s">
        <v>68</v>
      </c>
      <c r="V231" s="5">
        <v>0.37462775461584269</v>
      </c>
    </row>
    <row r="232" spans="1:22" x14ac:dyDescent="0.35">
      <c r="A232" t="s">
        <v>646</v>
      </c>
      <c r="B232" s="2">
        <v>45826</v>
      </c>
      <c r="C232" t="s">
        <v>329</v>
      </c>
      <c r="D232" t="s">
        <v>551</v>
      </c>
      <c r="E232" t="s">
        <v>41</v>
      </c>
      <c r="F232" t="s">
        <v>62</v>
      </c>
      <c r="G232" t="s">
        <v>63</v>
      </c>
      <c r="H232" t="s">
        <v>64</v>
      </c>
      <c r="I232" t="s">
        <v>140</v>
      </c>
      <c r="J232" t="s">
        <v>46</v>
      </c>
      <c r="K232">
        <v>8</v>
      </c>
      <c r="L232" s="3">
        <v>293300</v>
      </c>
      <c r="M232" s="3">
        <v>1741600</v>
      </c>
      <c r="N232" s="3">
        <v>2346400</v>
      </c>
      <c r="O232" s="4">
        <v>0.08</v>
      </c>
      <c r="P232" s="3">
        <v>187712</v>
      </c>
      <c r="Q232" s="3">
        <v>2158688</v>
      </c>
      <c r="R232" s="3">
        <v>417088</v>
      </c>
      <c r="S232" t="s">
        <v>121</v>
      </c>
      <c r="T232" t="s">
        <v>77</v>
      </c>
      <c r="U232" t="s">
        <v>68</v>
      </c>
      <c r="V232" s="5">
        <v>0.19321365570198201</v>
      </c>
    </row>
    <row r="233" spans="1:22" x14ac:dyDescent="0.35">
      <c r="A233" t="s">
        <v>647</v>
      </c>
      <c r="B233" s="2">
        <v>45827</v>
      </c>
      <c r="C233" t="s">
        <v>240</v>
      </c>
      <c r="D233" t="s">
        <v>137</v>
      </c>
      <c r="E233" t="s">
        <v>61</v>
      </c>
      <c r="F233" t="s">
        <v>81</v>
      </c>
      <c r="G233" t="s">
        <v>82</v>
      </c>
      <c r="H233" t="s">
        <v>64</v>
      </c>
      <c r="I233" t="s">
        <v>45</v>
      </c>
      <c r="J233" t="s">
        <v>46</v>
      </c>
      <c r="K233">
        <v>3</v>
      </c>
      <c r="L233" s="3">
        <v>387700</v>
      </c>
      <c r="M233" s="3">
        <v>1011900</v>
      </c>
      <c r="N233" s="3">
        <v>1163100</v>
      </c>
      <c r="O233" s="4">
        <v>0.02</v>
      </c>
      <c r="P233" s="3">
        <v>23262</v>
      </c>
      <c r="Q233" s="3">
        <v>1139838</v>
      </c>
      <c r="R233" s="3">
        <v>127938</v>
      </c>
      <c r="S233" t="s">
        <v>57</v>
      </c>
      <c r="T233" t="s">
        <v>48</v>
      </c>
      <c r="U233" t="s">
        <v>49</v>
      </c>
      <c r="V233" s="5">
        <v>0.11224226600622191</v>
      </c>
    </row>
    <row r="234" spans="1:22" x14ac:dyDescent="0.35">
      <c r="A234" t="s">
        <v>648</v>
      </c>
      <c r="B234" s="2">
        <v>45829</v>
      </c>
      <c r="C234" t="s">
        <v>228</v>
      </c>
      <c r="D234" t="s">
        <v>649</v>
      </c>
      <c r="E234" t="s">
        <v>41</v>
      </c>
      <c r="F234" t="s">
        <v>53</v>
      </c>
      <c r="G234" t="s">
        <v>54</v>
      </c>
      <c r="H234" t="s">
        <v>44</v>
      </c>
      <c r="I234" t="s">
        <v>45</v>
      </c>
      <c r="J234" t="s">
        <v>46</v>
      </c>
      <c r="K234">
        <v>4</v>
      </c>
      <c r="L234" s="3">
        <v>399800</v>
      </c>
      <c r="M234" s="3">
        <v>1314800</v>
      </c>
      <c r="N234" s="3">
        <v>1599200</v>
      </c>
      <c r="O234" s="4">
        <v>0.02</v>
      </c>
      <c r="P234" s="3">
        <v>31984</v>
      </c>
      <c r="Q234" s="3">
        <v>1567216</v>
      </c>
      <c r="R234" s="3">
        <v>252416</v>
      </c>
      <c r="S234" t="s">
        <v>121</v>
      </c>
      <c r="T234" t="s">
        <v>48</v>
      </c>
      <c r="U234" t="s">
        <v>49</v>
      </c>
      <c r="V234" s="5">
        <v>0.16106012189768351</v>
      </c>
    </row>
    <row r="235" spans="1:22" x14ac:dyDescent="0.35">
      <c r="A235" t="s">
        <v>650</v>
      </c>
      <c r="B235" s="2">
        <v>45829</v>
      </c>
      <c r="C235" t="s">
        <v>118</v>
      </c>
      <c r="D235" t="s">
        <v>408</v>
      </c>
      <c r="E235" t="s">
        <v>41</v>
      </c>
      <c r="F235" t="s">
        <v>111</v>
      </c>
      <c r="G235" t="s">
        <v>112</v>
      </c>
      <c r="H235" t="s">
        <v>74</v>
      </c>
      <c r="I235" t="s">
        <v>90</v>
      </c>
      <c r="J235" t="s">
        <v>91</v>
      </c>
      <c r="K235">
        <v>6</v>
      </c>
      <c r="L235" s="3">
        <v>174400</v>
      </c>
      <c r="M235" s="3">
        <v>771600</v>
      </c>
      <c r="N235" s="3">
        <v>1046400</v>
      </c>
      <c r="O235" s="4">
        <v>0.1</v>
      </c>
      <c r="P235" s="3">
        <v>104640</v>
      </c>
      <c r="Q235" s="3">
        <v>941760</v>
      </c>
      <c r="R235" s="3">
        <v>170160</v>
      </c>
      <c r="S235" t="s">
        <v>121</v>
      </c>
      <c r="T235" t="s">
        <v>48</v>
      </c>
      <c r="U235" t="s">
        <v>49</v>
      </c>
      <c r="V235" s="5">
        <v>0.18068297655453619</v>
      </c>
    </row>
    <row r="236" spans="1:22" x14ac:dyDescent="0.35">
      <c r="A236" t="s">
        <v>651</v>
      </c>
      <c r="B236" s="2">
        <v>45830</v>
      </c>
      <c r="C236" t="s">
        <v>489</v>
      </c>
      <c r="D236" t="s">
        <v>222</v>
      </c>
      <c r="E236" t="s">
        <v>41</v>
      </c>
      <c r="F236" t="s">
        <v>195</v>
      </c>
      <c r="G236" t="s">
        <v>195</v>
      </c>
      <c r="H236" t="s">
        <v>196</v>
      </c>
      <c r="I236" t="s">
        <v>156</v>
      </c>
      <c r="J236" t="s">
        <v>91</v>
      </c>
      <c r="K236">
        <v>5</v>
      </c>
      <c r="L236" s="3">
        <v>255900</v>
      </c>
      <c r="M236" s="3">
        <v>802500</v>
      </c>
      <c r="N236" s="3">
        <v>1279500</v>
      </c>
      <c r="O236" s="4">
        <v>0.05</v>
      </c>
      <c r="P236" s="3">
        <v>63975</v>
      </c>
      <c r="Q236" s="3">
        <v>1215525</v>
      </c>
      <c r="R236" s="3">
        <v>413025</v>
      </c>
      <c r="S236" t="s">
        <v>121</v>
      </c>
      <c r="T236" t="s">
        <v>48</v>
      </c>
      <c r="U236" t="s">
        <v>49</v>
      </c>
      <c r="V236" s="5">
        <v>0.3397914481396927</v>
      </c>
    </row>
    <row r="237" spans="1:22" x14ac:dyDescent="0.35">
      <c r="A237" t="s">
        <v>652</v>
      </c>
      <c r="B237" s="2">
        <v>45831</v>
      </c>
      <c r="C237" t="s">
        <v>334</v>
      </c>
      <c r="D237" t="s">
        <v>322</v>
      </c>
      <c r="E237" t="s">
        <v>61</v>
      </c>
      <c r="F237" t="s">
        <v>73</v>
      </c>
      <c r="G237" t="s">
        <v>73</v>
      </c>
      <c r="H237" t="s">
        <v>74</v>
      </c>
      <c r="I237" t="s">
        <v>140</v>
      </c>
      <c r="J237" t="s">
        <v>46</v>
      </c>
      <c r="K237">
        <v>7</v>
      </c>
      <c r="L237" s="3">
        <v>287300</v>
      </c>
      <c r="M237" s="3">
        <v>1458800</v>
      </c>
      <c r="N237" s="3">
        <v>2011100</v>
      </c>
      <c r="O237" s="4">
        <v>0.1</v>
      </c>
      <c r="P237" s="3">
        <v>201110</v>
      </c>
      <c r="Q237" s="3">
        <v>1809990</v>
      </c>
      <c r="R237" s="3">
        <v>351190</v>
      </c>
      <c r="S237" t="s">
        <v>76</v>
      </c>
      <c r="T237" t="s">
        <v>48</v>
      </c>
      <c r="U237" t="s">
        <v>68</v>
      </c>
      <c r="V237" s="5">
        <v>0.1940286962911397</v>
      </c>
    </row>
    <row r="238" spans="1:22" x14ac:dyDescent="0.35">
      <c r="A238" t="s">
        <v>653</v>
      </c>
      <c r="B238" s="2">
        <v>45832</v>
      </c>
      <c r="C238" t="s">
        <v>571</v>
      </c>
      <c r="D238" t="s">
        <v>654</v>
      </c>
      <c r="E238" t="s">
        <v>41</v>
      </c>
      <c r="F238" t="s">
        <v>200</v>
      </c>
      <c r="G238" t="s">
        <v>201</v>
      </c>
      <c r="H238" t="s">
        <v>99</v>
      </c>
      <c r="I238" t="s">
        <v>90</v>
      </c>
      <c r="J238" t="s">
        <v>91</v>
      </c>
      <c r="K238">
        <v>3</v>
      </c>
      <c r="L238" s="3">
        <v>182200</v>
      </c>
      <c r="M238" s="3">
        <v>386100</v>
      </c>
      <c r="N238" s="3">
        <v>546600</v>
      </c>
      <c r="O238" s="4">
        <v>0.1</v>
      </c>
      <c r="P238" s="3">
        <v>54660</v>
      </c>
      <c r="Q238" s="3">
        <v>491940</v>
      </c>
      <c r="R238" s="3">
        <v>105840</v>
      </c>
      <c r="S238" t="s">
        <v>47</v>
      </c>
      <c r="T238" t="s">
        <v>48</v>
      </c>
      <c r="U238" t="s">
        <v>49</v>
      </c>
      <c r="V238" s="5">
        <v>0.21514818880351261</v>
      </c>
    </row>
    <row r="239" spans="1:22" x14ac:dyDescent="0.35">
      <c r="A239" t="s">
        <v>655</v>
      </c>
      <c r="B239" s="2">
        <v>45832</v>
      </c>
      <c r="C239" t="s">
        <v>656</v>
      </c>
      <c r="D239" t="s">
        <v>657</v>
      </c>
      <c r="E239" t="s">
        <v>41</v>
      </c>
      <c r="F239" t="s">
        <v>53</v>
      </c>
      <c r="G239" t="s">
        <v>54</v>
      </c>
      <c r="H239" t="s">
        <v>44</v>
      </c>
      <c r="I239" t="s">
        <v>120</v>
      </c>
      <c r="J239" t="s">
        <v>56</v>
      </c>
      <c r="K239">
        <v>7</v>
      </c>
      <c r="L239" s="3">
        <v>84700</v>
      </c>
      <c r="M239" s="3">
        <v>372400</v>
      </c>
      <c r="N239" s="3">
        <v>592900</v>
      </c>
      <c r="O239" s="4">
        <v>0.1</v>
      </c>
      <c r="P239" s="3">
        <v>59290</v>
      </c>
      <c r="Q239" s="3">
        <v>533610</v>
      </c>
      <c r="R239" s="3">
        <v>161210</v>
      </c>
      <c r="S239" t="s">
        <v>121</v>
      </c>
      <c r="T239" t="s">
        <v>107</v>
      </c>
      <c r="U239" t="s">
        <v>68</v>
      </c>
      <c r="V239" s="5">
        <v>0.30211202938475668</v>
      </c>
    </row>
    <row r="240" spans="1:22" x14ac:dyDescent="0.35">
      <c r="A240" t="s">
        <v>658</v>
      </c>
      <c r="B240" s="2">
        <v>45833</v>
      </c>
      <c r="C240" t="s">
        <v>659</v>
      </c>
      <c r="D240" t="s">
        <v>467</v>
      </c>
      <c r="E240" t="s">
        <v>41</v>
      </c>
      <c r="F240" t="s">
        <v>111</v>
      </c>
      <c r="G240" t="s">
        <v>112</v>
      </c>
      <c r="H240" t="s">
        <v>74</v>
      </c>
      <c r="I240" t="s">
        <v>83</v>
      </c>
      <c r="J240" t="s">
        <v>56</v>
      </c>
      <c r="K240">
        <v>3</v>
      </c>
      <c r="L240" s="3">
        <v>42400</v>
      </c>
      <c r="M240" s="3">
        <v>87000</v>
      </c>
      <c r="N240" s="3">
        <v>127200</v>
      </c>
      <c r="O240" s="4">
        <v>0</v>
      </c>
      <c r="P240" s="3">
        <v>0</v>
      </c>
      <c r="Q240" s="3">
        <v>127200</v>
      </c>
      <c r="R240" s="3">
        <v>40200</v>
      </c>
      <c r="S240" t="s">
        <v>47</v>
      </c>
      <c r="T240" t="s">
        <v>48</v>
      </c>
      <c r="U240" t="s">
        <v>49</v>
      </c>
      <c r="V240" s="5">
        <v>0.31603773584905659</v>
      </c>
    </row>
    <row r="241" spans="1:22" x14ac:dyDescent="0.35">
      <c r="A241" t="s">
        <v>660</v>
      </c>
      <c r="B241" s="2">
        <v>45834</v>
      </c>
      <c r="C241" t="s">
        <v>176</v>
      </c>
      <c r="D241" t="s">
        <v>238</v>
      </c>
      <c r="E241" t="s">
        <v>61</v>
      </c>
      <c r="F241" t="s">
        <v>62</v>
      </c>
      <c r="G241" t="s">
        <v>63</v>
      </c>
      <c r="H241" t="s">
        <v>64</v>
      </c>
      <c r="I241" t="s">
        <v>90</v>
      </c>
      <c r="J241" t="s">
        <v>91</v>
      </c>
      <c r="K241">
        <v>2</v>
      </c>
      <c r="L241" s="3">
        <v>166000</v>
      </c>
      <c r="M241" s="3">
        <v>253200</v>
      </c>
      <c r="N241" s="3">
        <v>332000</v>
      </c>
      <c r="O241" s="4">
        <v>0</v>
      </c>
      <c r="P241" s="3">
        <v>0</v>
      </c>
      <c r="Q241" s="3">
        <v>0</v>
      </c>
      <c r="R241" s="3">
        <v>0</v>
      </c>
      <c r="S241" t="s">
        <v>67</v>
      </c>
      <c r="T241" t="s">
        <v>48</v>
      </c>
      <c r="U241" t="s">
        <v>127</v>
      </c>
      <c r="V241" s="5">
        <v>0</v>
      </c>
    </row>
    <row r="242" spans="1:22" x14ac:dyDescent="0.35">
      <c r="A242" t="s">
        <v>661</v>
      </c>
      <c r="B242" s="2">
        <v>45834</v>
      </c>
      <c r="C242" t="s">
        <v>118</v>
      </c>
      <c r="D242" t="s">
        <v>662</v>
      </c>
      <c r="E242" t="s">
        <v>41</v>
      </c>
      <c r="F242" t="s">
        <v>125</v>
      </c>
      <c r="G242" t="s">
        <v>126</v>
      </c>
      <c r="H242" t="s">
        <v>64</v>
      </c>
      <c r="I242" t="s">
        <v>75</v>
      </c>
      <c r="J242" t="s">
        <v>56</v>
      </c>
      <c r="K242">
        <v>5</v>
      </c>
      <c r="L242" s="3">
        <v>64100</v>
      </c>
      <c r="M242" s="3">
        <v>205000</v>
      </c>
      <c r="N242" s="3">
        <v>320500</v>
      </c>
      <c r="O242" s="4">
        <v>0.02</v>
      </c>
      <c r="P242" s="3">
        <v>6410</v>
      </c>
      <c r="Q242" s="3">
        <v>314090</v>
      </c>
      <c r="R242" s="3">
        <v>109090</v>
      </c>
      <c r="S242" t="s">
        <v>47</v>
      </c>
      <c r="T242" t="s">
        <v>77</v>
      </c>
      <c r="U242" t="s">
        <v>49</v>
      </c>
      <c r="V242" s="5">
        <v>0.34732083160877453</v>
      </c>
    </row>
    <row r="243" spans="1:22" x14ac:dyDescent="0.35">
      <c r="A243" t="s">
        <v>663</v>
      </c>
      <c r="B243" s="2">
        <v>45834</v>
      </c>
      <c r="C243" t="s">
        <v>604</v>
      </c>
      <c r="D243" t="s">
        <v>664</v>
      </c>
      <c r="E243" t="s">
        <v>41</v>
      </c>
      <c r="F243" t="s">
        <v>81</v>
      </c>
      <c r="G243" t="s">
        <v>82</v>
      </c>
      <c r="H243" t="s">
        <v>64</v>
      </c>
      <c r="I243" t="s">
        <v>55</v>
      </c>
      <c r="J243" t="s">
        <v>56</v>
      </c>
      <c r="K243">
        <v>2</v>
      </c>
      <c r="L243" s="3">
        <v>33200</v>
      </c>
      <c r="M243" s="3">
        <v>41600</v>
      </c>
      <c r="N243" s="3">
        <v>66400</v>
      </c>
      <c r="O243" s="4">
        <v>0</v>
      </c>
      <c r="P243" s="3">
        <v>0</v>
      </c>
      <c r="Q243" s="3">
        <v>66400</v>
      </c>
      <c r="R243" s="3">
        <v>24800</v>
      </c>
      <c r="S243" t="s">
        <v>121</v>
      </c>
      <c r="T243" t="s">
        <v>48</v>
      </c>
      <c r="U243" t="s">
        <v>49</v>
      </c>
      <c r="V243" s="5">
        <v>0.37349397590361438</v>
      </c>
    </row>
    <row r="244" spans="1:22" x14ac:dyDescent="0.35">
      <c r="A244" t="s">
        <v>665</v>
      </c>
      <c r="B244" s="2">
        <v>45836</v>
      </c>
      <c r="C244" t="s">
        <v>473</v>
      </c>
      <c r="D244" t="s">
        <v>116</v>
      </c>
      <c r="E244" t="s">
        <v>41</v>
      </c>
      <c r="F244" t="s">
        <v>53</v>
      </c>
      <c r="G244" t="s">
        <v>54</v>
      </c>
      <c r="H244" t="s">
        <v>44</v>
      </c>
      <c r="I244" t="s">
        <v>103</v>
      </c>
      <c r="J244" t="s">
        <v>46</v>
      </c>
      <c r="K244">
        <v>4</v>
      </c>
      <c r="L244" s="3">
        <v>657800</v>
      </c>
      <c r="M244" s="3">
        <v>2061200</v>
      </c>
      <c r="N244" s="3">
        <v>2631200</v>
      </c>
      <c r="O244" s="4">
        <v>0.05</v>
      </c>
      <c r="P244" s="3">
        <v>131560</v>
      </c>
      <c r="Q244" s="3">
        <v>2499640</v>
      </c>
      <c r="R244" s="3">
        <v>438440</v>
      </c>
      <c r="S244" t="s">
        <v>57</v>
      </c>
      <c r="T244" t="s">
        <v>107</v>
      </c>
      <c r="U244" t="s">
        <v>49</v>
      </c>
      <c r="V244" s="5">
        <v>0.17540125778112051</v>
      </c>
    </row>
    <row r="245" spans="1:22" x14ac:dyDescent="0.35">
      <c r="A245" t="s">
        <v>666</v>
      </c>
      <c r="B245" s="2">
        <v>45836</v>
      </c>
      <c r="C245" t="s">
        <v>480</v>
      </c>
      <c r="D245" t="s">
        <v>667</v>
      </c>
      <c r="E245" t="s">
        <v>41</v>
      </c>
      <c r="F245" t="s">
        <v>125</v>
      </c>
      <c r="G245" t="s">
        <v>126</v>
      </c>
      <c r="H245" t="s">
        <v>64</v>
      </c>
      <c r="I245" t="s">
        <v>120</v>
      </c>
      <c r="J245" t="s">
        <v>56</v>
      </c>
      <c r="K245">
        <v>8</v>
      </c>
      <c r="L245" s="3">
        <v>81300</v>
      </c>
      <c r="M245" s="3">
        <v>417600</v>
      </c>
      <c r="N245" s="3">
        <v>650400</v>
      </c>
      <c r="O245" s="4">
        <v>0</v>
      </c>
      <c r="P245" s="3">
        <v>0</v>
      </c>
      <c r="Q245" s="3">
        <v>650400</v>
      </c>
      <c r="R245" s="3">
        <v>232800</v>
      </c>
      <c r="S245" t="s">
        <v>121</v>
      </c>
      <c r="T245" t="s">
        <v>48</v>
      </c>
      <c r="U245" t="s">
        <v>49</v>
      </c>
      <c r="V245" s="5">
        <v>0.35793357933579328</v>
      </c>
    </row>
    <row r="246" spans="1:22" x14ac:dyDescent="0.35">
      <c r="A246" t="s">
        <v>668</v>
      </c>
      <c r="B246" s="2">
        <v>45836</v>
      </c>
      <c r="C246" t="s">
        <v>669</v>
      </c>
      <c r="D246" t="s">
        <v>670</v>
      </c>
      <c r="E246" t="s">
        <v>41</v>
      </c>
      <c r="F246" t="s">
        <v>72</v>
      </c>
      <c r="G246" t="s">
        <v>73</v>
      </c>
      <c r="H246" t="s">
        <v>74</v>
      </c>
      <c r="I246" t="s">
        <v>75</v>
      </c>
      <c r="J246" t="s">
        <v>56</v>
      </c>
      <c r="K246">
        <v>3</v>
      </c>
      <c r="L246" s="3">
        <v>67500</v>
      </c>
      <c r="M246" s="3">
        <v>125400</v>
      </c>
      <c r="N246" s="3">
        <v>202500</v>
      </c>
      <c r="O246" s="4">
        <v>0</v>
      </c>
      <c r="P246" s="3">
        <v>0</v>
      </c>
      <c r="Q246" s="3">
        <v>202500</v>
      </c>
      <c r="R246" s="3">
        <v>77100</v>
      </c>
      <c r="S246" t="s">
        <v>57</v>
      </c>
      <c r="T246" t="s">
        <v>48</v>
      </c>
      <c r="U246" t="s">
        <v>49</v>
      </c>
      <c r="V246" s="5">
        <v>0.38074074074074082</v>
      </c>
    </row>
    <row r="247" spans="1:22" x14ac:dyDescent="0.35">
      <c r="A247" t="s">
        <v>671</v>
      </c>
      <c r="B247" s="2">
        <v>45836</v>
      </c>
      <c r="C247" t="s">
        <v>59</v>
      </c>
      <c r="D247" t="s">
        <v>672</v>
      </c>
      <c r="E247" t="s">
        <v>41</v>
      </c>
      <c r="F247" t="s">
        <v>195</v>
      </c>
      <c r="G247" t="s">
        <v>195</v>
      </c>
      <c r="H247" t="s">
        <v>196</v>
      </c>
      <c r="I247" t="s">
        <v>156</v>
      </c>
      <c r="J247" t="s">
        <v>91</v>
      </c>
      <c r="K247">
        <v>7</v>
      </c>
      <c r="L247" s="3">
        <v>244600</v>
      </c>
      <c r="M247" s="3">
        <v>1183000</v>
      </c>
      <c r="N247" s="3">
        <v>1712200</v>
      </c>
      <c r="O247" s="4">
        <v>0</v>
      </c>
      <c r="P247" s="3">
        <v>0</v>
      </c>
      <c r="Q247" s="3">
        <v>1712200</v>
      </c>
      <c r="R247" s="3">
        <v>529200</v>
      </c>
      <c r="S247" t="s">
        <v>47</v>
      </c>
      <c r="T247" t="s">
        <v>77</v>
      </c>
      <c r="U247" t="s">
        <v>49</v>
      </c>
      <c r="V247" s="5">
        <v>0.30907604251839738</v>
      </c>
    </row>
    <row r="248" spans="1:22" x14ac:dyDescent="0.35">
      <c r="A248" t="s">
        <v>673</v>
      </c>
      <c r="B248" s="2">
        <v>45837</v>
      </c>
      <c r="C248" t="s">
        <v>334</v>
      </c>
      <c r="D248" t="s">
        <v>674</v>
      </c>
      <c r="E248" t="s">
        <v>61</v>
      </c>
      <c r="F248" t="s">
        <v>200</v>
      </c>
      <c r="G248" t="s">
        <v>201</v>
      </c>
      <c r="H248" t="s">
        <v>99</v>
      </c>
      <c r="I248" t="s">
        <v>103</v>
      </c>
      <c r="J248" t="s">
        <v>46</v>
      </c>
      <c r="K248">
        <v>2</v>
      </c>
      <c r="L248" s="3">
        <v>654400</v>
      </c>
      <c r="M248" s="3">
        <v>1022200</v>
      </c>
      <c r="N248" s="3">
        <v>1308800</v>
      </c>
      <c r="O248" s="4">
        <v>0.02</v>
      </c>
      <c r="P248" s="3">
        <v>26176</v>
      </c>
      <c r="Q248" s="3">
        <v>1282624</v>
      </c>
      <c r="R248" s="3">
        <v>260424</v>
      </c>
      <c r="S248" t="s">
        <v>47</v>
      </c>
      <c r="T248" t="s">
        <v>48</v>
      </c>
      <c r="U248" t="s">
        <v>49</v>
      </c>
      <c r="V248" s="5">
        <v>0.2030400179631755</v>
      </c>
    </row>
    <row r="249" spans="1:22" x14ac:dyDescent="0.35">
      <c r="A249" t="s">
        <v>675</v>
      </c>
      <c r="B249" s="2">
        <v>45838</v>
      </c>
      <c r="C249" t="s">
        <v>466</v>
      </c>
      <c r="D249" t="s">
        <v>319</v>
      </c>
      <c r="E249" t="s">
        <v>41</v>
      </c>
      <c r="F249" t="s">
        <v>168</v>
      </c>
      <c r="G249" t="s">
        <v>169</v>
      </c>
      <c r="H249" t="s">
        <v>74</v>
      </c>
      <c r="I249" t="s">
        <v>90</v>
      </c>
      <c r="J249" t="s">
        <v>91</v>
      </c>
      <c r="K249">
        <v>3</v>
      </c>
      <c r="L249" s="3">
        <v>171700</v>
      </c>
      <c r="M249" s="3">
        <v>388500</v>
      </c>
      <c r="N249" s="3">
        <v>515100</v>
      </c>
      <c r="O249" s="4">
        <v>0.05</v>
      </c>
      <c r="P249" s="3">
        <v>25755</v>
      </c>
      <c r="Q249" s="3">
        <v>489345</v>
      </c>
      <c r="R249" s="3">
        <v>100845</v>
      </c>
      <c r="S249" t="s">
        <v>67</v>
      </c>
      <c r="T249" t="s">
        <v>107</v>
      </c>
      <c r="U249" t="s">
        <v>49</v>
      </c>
      <c r="V249" s="5">
        <v>0.20608159887196151</v>
      </c>
    </row>
    <row r="250" spans="1:22" x14ac:dyDescent="0.35">
      <c r="A250" t="s">
        <v>676</v>
      </c>
      <c r="B250" s="2">
        <v>45838</v>
      </c>
      <c r="C250" t="s">
        <v>209</v>
      </c>
      <c r="D250" t="s">
        <v>307</v>
      </c>
      <c r="E250" t="s">
        <v>61</v>
      </c>
      <c r="F250" t="s">
        <v>125</v>
      </c>
      <c r="G250" t="s">
        <v>126</v>
      </c>
      <c r="H250" t="s">
        <v>64</v>
      </c>
      <c r="I250" t="s">
        <v>83</v>
      </c>
      <c r="J250" t="s">
        <v>56</v>
      </c>
      <c r="K250">
        <v>3</v>
      </c>
      <c r="L250" s="3">
        <v>43700</v>
      </c>
      <c r="M250" s="3">
        <v>84000</v>
      </c>
      <c r="N250" s="3">
        <v>131100</v>
      </c>
      <c r="O250" s="4">
        <v>0</v>
      </c>
      <c r="P250" s="3">
        <v>0</v>
      </c>
      <c r="Q250" s="3">
        <v>131100</v>
      </c>
      <c r="R250" s="3">
        <v>47100</v>
      </c>
      <c r="S250" t="s">
        <v>57</v>
      </c>
      <c r="T250" t="s">
        <v>77</v>
      </c>
      <c r="U250" t="s">
        <v>49</v>
      </c>
      <c r="V250" s="5">
        <v>0.35926773455377581</v>
      </c>
    </row>
    <row r="251" spans="1:22" x14ac:dyDescent="0.35">
      <c r="A251" t="s">
        <v>677</v>
      </c>
      <c r="B251" s="2">
        <v>45839</v>
      </c>
      <c r="C251" t="s">
        <v>678</v>
      </c>
      <c r="D251" t="s">
        <v>130</v>
      </c>
      <c r="E251" t="s">
        <v>61</v>
      </c>
      <c r="F251" t="s">
        <v>98</v>
      </c>
      <c r="G251" t="s">
        <v>98</v>
      </c>
      <c r="H251" t="s">
        <v>99</v>
      </c>
      <c r="I251" t="s">
        <v>45</v>
      </c>
      <c r="J251" t="s">
        <v>46</v>
      </c>
      <c r="K251">
        <v>6</v>
      </c>
      <c r="L251" s="3">
        <v>426900</v>
      </c>
      <c r="M251" s="3">
        <v>2059200</v>
      </c>
      <c r="N251" s="3">
        <v>2561400</v>
      </c>
      <c r="O251" s="4">
        <v>0.1</v>
      </c>
      <c r="P251" s="3">
        <v>256140</v>
      </c>
      <c r="Q251" s="3">
        <v>2305260</v>
      </c>
      <c r="R251" s="3">
        <v>246060</v>
      </c>
      <c r="S251" t="s">
        <v>121</v>
      </c>
      <c r="T251" t="s">
        <v>77</v>
      </c>
      <c r="U251" t="s">
        <v>68</v>
      </c>
      <c r="V251" s="5">
        <v>0.1067385023815101</v>
      </c>
    </row>
    <row r="252" spans="1:22" x14ac:dyDescent="0.35">
      <c r="A252" t="s">
        <v>679</v>
      </c>
      <c r="B252" s="2">
        <v>45839</v>
      </c>
      <c r="C252" t="s">
        <v>203</v>
      </c>
      <c r="D252" t="s">
        <v>680</v>
      </c>
      <c r="E252" t="s">
        <v>41</v>
      </c>
      <c r="F252" t="s">
        <v>200</v>
      </c>
      <c r="G252" t="s">
        <v>201</v>
      </c>
      <c r="H252" t="s">
        <v>99</v>
      </c>
      <c r="I252" t="s">
        <v>45</v>
      </c>
      <c r="J252" t="s">
        <v>46</v>
      </c>
      <c r="K252">
        <v>1</v>
      </c>
      <c r="L252" s="3">
        <v>444100</v>
      </c>
      <c r="M252" s="3">
        <v>347400</v>
      </c>
      <c r="N252" s="3">
        <v>444100</v>
      </c>
      <c r="O252" s="4">
        <v>0.05</v>
      </c>
      <c r="P252" s="3">
        <v>22205</v>
      </c>
      <c r="Q252" s="3">
        <v>421895</v>
      </c>
      <c r="R252" s="3">
        <v>74495</v>
      </c>
      <c r="S252" t="s">
        <v>121</v>
      </c>
      <c r="T252" t="s">
        <v>77</v>
      </c>
      <c r="U252" t="s">
        <v>49</v>
      </c>
      <c r="V252" s="5">
        <v>0.17657236990246389</v>
      </c>
    </row>
    <row r="253" spans="1:22" x14ac:dyDescent="0.35">
      <c r="A253" t="s">
        <v>681</v>
      </c>
      <c r="B253" s="2">
        <v>45840</v>
      </c>
      <c r="C253" t="s">
        <v>237</v>
      </c>
      <c r="D253" t="s">
        <v>682</v>
      </c>
      <c r="E253" t="s">
        <v>61</v>
      </c>
      <c r="F253" t="s">
        <v>98</v>
      </c>
      <c r="G253" t="s">
        <v>98</v>
      </c>
      <c r="H253" t="s">
        <v>99</v>
      </c>
      <c r="I253" t="s">
        <v>113</v>
      </c>
      <c r="J253" t="s">
        <v>66</v>
      </c>
      <c r="K253">
        <v>2</v>
      </c>
      <c r="L253" s="3">
        <v>215600</v>
      </c>
      <c r="M253" s="3">
        <v>302200</v>
      </c>
      <c r="N253" s="3">
        <v>431200</v>
      </c>
      <c r="O253" s="4">
        <v>0.08</v>
      </c>
      <c r="P253" s="3">
        <v>34496</v>
      </c>
      <c r="Q253" s="3">
        <v>396704</v>
      </c>
      <c r="R253" s="3">
        <v>94504</v>
      </c>
      <c r="S253" t="s">
        <v>121</v>
      </c>
      <c r="T253" t="s">
        <v>107</v>
      </c>
      <c r="U253" t="s">
        <v>49</v>
      </c>
      <c r="V253" s="5">
        <v>0.23822295716705649</v>
      </c>
    </row>
    <row r="254" spans="1:22" x14ac:dyDescent="0.35">
      <c r="A254" t="s">
        <v>683</v>
      </c>
      <c r="B254" s="2">
        <v>45841</v>
      </c>
      <c r="C254" t="s">
        <v>659</v>
      </c>
      <c r="D254" t="s">
        <v>684</v>
      </c>
      <c r="E254" t="s">
        <v>61</v>
      </c>
      <c r="F254" t="s">
        <v>195</v>
      </c>
      <c r="G254" t="s">
        <v>195</v>
      </c>
      <c r="H254" t="s">
        <v>196</v>
      </c>
      <c r="I254" t="s">
        <v>65</v>
      </c>
      <c r="J254" t="s">
        <v>66</v>
      </c>
      <c r="K254">
        <v>6</v>
      </c>
      <c r="L254" s="3">
        <v>163100</v>
      </c>
      <c r="M254" s="3">
        <v>691200</v>
      </c>
      <c r="N254" s="3">
        <v>978600</v>
      </c>
      <c r="O254" s="4">
        <v>0.08</v>
      </c>
      <c r="P254" s="3">
        <v>78288</v>
      </c>
      <c r="Q254" s="3">
        <v>900312</v>
      </c>
      <c r="R254" s="3">
        <v>209112</v>
      </c>
      <c r="S254" t="s">
        <v>67</v>
      </c>
      <c r="T254" t="s">
        <v>107</v>
      </c>
      <c r="U254" t="s">
        <v>49</v>
      </c>
      <c r="V254" s="5">
        <v>0.23226614773545171</v>
      </c>
    </row>
    <row r="255" spans="1:22" x14ac:dyDescent="0.35">
      <c r="A255" t="s">
        <v>685</v>
      </c>
      <c r="B255" s="2">
        <v>45842</v>
      </c>
      <c r="C255" t="s">
        <v>300</v>
      </c>
      <c r="D255" t="s">
        <v>686</v>
      </c>
      <c r="E255" t="s">
        <v>41</v>
      </c>
      <c r="F255" t="s">
        <v>62</v>
      </c>
      <c r="G255" t="s">
        <v>63</v>
      </c>
      <c r="H255" t="s">
        <v>64</v>
      </c>
      <c r="I255" t="s">
        <v>55</v>
      </c>
      <c r="J255" t="s">
        <v>56</v>
      </c>
      <c r="K255">
        <v>1</v>
      </c>
      <c r="L255" s="3">
        <v>33000</v>
      </c>
      <c r="M255" s="3">
        <v>21100</v>
      </c>
      <c r="N255" s="3">
        <v>33000</v>
      </c>
      <c r="O255" s="4">
        <v>0</v>
      </c>
      <c r="P255" s="3">
        <v>0</v>
      </c>
      <c r="Q255" s="3">
        <v>33000</v>
      </c>
      <c r="R255" s="3">
        <v>11900</v>
      </c>
      <c r="S255" t="s">
        <v>67</v>
      </c>
      <c r="T255" t="s">
        <v>48</v>
      </c>
      <c r="U255" t="s">
        <v>49</v>
      </c>
      <c r="V255" s="5">
        <v>0.3606060606060606</v>
      </c>
    </row>
    <row r="256" spans="1:22" x14ac:dyDescent="0.35">
      <c r="A256" t="s">
        <v>687</v>
      </c>
      <c r="B256" s="2">
        <v>45842</v>
      </c>
      <c r="C256" t="s">
        <v>688</v>
      </c>
      <c r="D256" t="s">
        <v>689</v>
      </c>
      <c r="E256" t="s">
        <v>41</v>
      </c>
      <c r="F256" t="s">
        <v>195</v>
      </c>
      <c r="G256" t="s">
        <v>195</v>
      </c>
      <c r="H256" t="s">
        <v>196</v>
      </c>
      <c r="I256" t="s">
        <v>45</v>
      </c>
      <c r="J256" t="s">
        <v>46</v>
      </c>
      <c r="K256">
        <v>3</v>
      </c>
      <c r="L256" s="3">
        <v>410100</v>
      </c>
      <c r="M256" s="3">
        <v>968400</v>
      </c>
      <c r="N256" s="3">
        <v>1230300</v>
      </c>
      <c r="O256" s="4">
        <v>0</v>
      </c>
      <c r="P256" s="3">
        <v>0</v>
      </c>
      <c r="Q256" s="3">
        <v>1230300</v>
      </c>
      <c r="R256" s="3">
        <v>261900</v>
      </c>
      <c r="S256" t="s">
        <v>121</v>
      </c>
      <c r="T256" t="s">
        <v>48</v>
      </c>
      <c r="U256" t="s">
        <v>49</v>
      </c>
      <c r="V256" s="5">
        <v>0.2128749085588881</v>
      </c>
    </row>
    <row r="257" spans="1:22" x14ac:dyDescent="0.35">
      <c r="A257" t="s">
        <v>690</v>
      </c>
      <c r="B257" s="2">
        <v>45843</v>
      </c>
      <c r="C257" t="s">
        <v>592</v>
      </c>
      <c r="D257" t="s">
        <v>518</v>
      </c>
      <c r="E257" t="s">
        <v>41</v>
      </c>
      <c r="F257" t="s">
        <v>62</v>
      </c>
      <c r="G257" t="s">
        <v>63</v>
      </c>
      <c r="H257" t="s">
        <v>64</v>
      </c>
      <c r="I257" t="s">
        <v>120</v>
      </c>
      <c r="J257" t="s">
        <v>56</v>
      </c>
      <c r="K257">
        <v>1</v>
      </c>
      <c r="L257" s="3">
        <v>82400</v>
      </c>
      <c r="M257" s="3">
        <v>53100</v>
      </c>
      <c r="N257" s="3">
        <v>82400</v>
      </c>
      <c r="O257" s="4">
        <v>0.05</v>
      </c>
      <c r="P257" s="3">
        <v>4120</v>
      </c>
      <c r="Q257" s="3">
        <v>78280</v>
      </c>
      <c r="R257" s="3">
        <v>25180</v>
      </c>
      <c r="S257" t="s">
        <v>47</v>
      </c>
      <c r="T257" t="s">
        <v>48</v>
      </c>
      <c r="U257" t="s">
        <v>49</v>
      </c>
      <c r="V257" s="5">
        <v>0.32166581502299441</v>
      </c>
    </row>
    <row r="258" spans="1:22" x14ac:dyDescent="0.35">
      <c r="A258" t="s">
        <v>691</v>
      </c>
      <c r="B258" s="2">
        <v>45843</v>
      </c>
      <c r="C258" t="s">
        <v>101</v>
      </c>
      <c r="D258" t="s">
        <v>531</v>
      </c>
      <c r="E258" t="s">
        <v>61</v>
      </c>
      <c r="F258" t="s">
        <v>168</v>
      </c>
      <c r="G258" t="s">
        <v>169</v>
      </c>
      <c r="H258" t="s">
        <v>74</v>
      </c>
      <c r="I258" t="s">
        <v>75</v>
      </c>
      <c r="J258" t="s">
        <v>56</v>
      </c>
      <c r="K258">
        <v>2</v>
      </c>
      <c r="L258" s="3">
        <v>67200</v>
      </c>
      <c r="M258" s="3">
        <v>85400</v>
      </c>
      <c r="N258" s="3">
        <v>134400</v>
      </c>
      <c r="O258" s="4">
        <v>0.05</v>
      </c>
      <c r="P258" s="3">
        <v>0</v>
      </c>
      <c r="Q258" s="3">
        <v>0</v>
      </c>
      <c r="R258" s="3">
        <v>0</v>
      </c>
      <c r="S258" t="s">
        <v>76</v>
      </c>
      <c r="T258" t="s">
        <v>48</v>
      </c>
      <c r="U258" t="s">
        <v>127</v>
      </c>
      <c r="V258" s="5">
        <v>0</v>
      </c>
    </row>
    <row r="259" spans="1:22" x14ac:dyDescent="0.35">
      <c r="A259" t="s">
        <v>692</v>
      </c>
      <c r="B259" s="2">
        <v>45843</v>
      </c>
      <c r="C259" t="s">
        <v>96</v>
      </c>
      <c r="D259" t="s">
        <v>693</v>
      </c>
      <c r="E259" t="s">
        <v>61</v>
      </c>
      <c r="F259" t="s">
        <v>125</v>
      </c>
      <c r="G259" t="s">
        <v>126</v>
      </c>
      <c r="H259" t="s">
        <v>64</v>
      </c>
      <c r="I259" t="s">
        <v>45</v>
      </c>
      <c r="J259" t="s">
        <v>46</v>
      </c>
      <c r="K259">
        <v>2</v>
      </c>
      <c r="L259" s="3">
        <v>423100</v>
      </c>
      <c r="M259" s="3">
        <v>656600</v>
      </c>
      <c r="N259" s="3">
        <v>846200</v>
      </c>
      <c r="O259" s="4">
        <v>0</v>
      </c>
      <c r="P259" s="3">
        <v>0</v>
      </c>
      <c r="Q259" s="3">
        <v>846200</v>
      </c>
      <c r="R259" s="3">
        <v>189600</v>
      </c>
      <c r="S259" t="s">
        <v>57</v>
      </c>
      <c r="T259" t="s">
        <v>48</v>
      </c>
      <c r="U259" t="s">
        <v>68</v>
      </c>
      <c r="V259" s="5">
        <v>0.22406050579059331</v>
      </c>
    </row>
    <row r="260" spans="1:22" x14ac:dyDescent="0.35">
      <c r="A260" t="s">
        <v>694</v>
      </c>
      <c r="B260" s="2">
        <v>45847</v>
      </c>
      <c r="C260" t="s">
        <v>695</v>
      </c>
      <c r="D260" t="s">
        <v>657</v>
      </c>
      <c r="E260" t="s">
        <v>41</v>
      </c>
      <c r="F260" t="s">
        <v>111</v>
      </c>
      <c r="G260" t="s">
        <v>112</v>
      </c>
      <c r="H260" t="s">
        <v>74</v>
      </c>
      <c r="I260" t="s">
        <v>83</v>
      </c>
      <c r="J260" t="s">
        <v>56</v>
      </c>
      <c r="K260">
        <v>4</v>
      </c>
      <c r="L260" s="3">
        <v>43800</v>
      </c>
      <c r="M260" s="3">
        <v>109200</v>
      </c>
      <c r="N260" s="3">
        <v>175200</v>
      </c>
      <c r="O260" s="4">
        <v>0.05</v>
      </c>
      <c r="P260" s="3">
        <v>8760</v>
      </c>
      <c r="Q260" s="3">
        <v>166440</v>
      </c>
      <c r="R260" s="3">
        <v>57240</v>
      </c>
      <c r="S260" t="s">
        <v>121</v>
      </c>
      <c r="T260" t="s">
        <v>48</v>
      </c>
      <c r="U260" t="s">
        <v>49</v>
      </c>
      <c r="V260" s="5">
        <v>0.3439077144917087</v>
      </c>
    </row>
    <row r="261" spans="1:22" x14ac:dyDescent="0.35">
      <c r="A261" t="s">
        <v>696</v>
      </c>
      <c r="B261" s="2">
        <v>45847</v>
      </c>
      <c r="C261" t="s">
        <v>384</v>
      </c>
      <c r="D261" t="s">
        <v>295</v>
      </c>
      <c r="E261" t="s">
        <v>41</v>
      </c>
      <c r="F261" t="s">
        <v>125</v>
      </c>
      <c r="G261" t="s">
        <v>126</v>
      </c>
      <c r="H261" t="s">
        <v>64</v>
      </c>
      <c r="I261" t="s">
        <v>156</v>
      </c>
      <c r="J261" t="s">
        <v>91</v>
      </c>
      <c r="K261">
        <v>8</v>
      </c>
      <c r="L261" s="3">
        <v>229100</v>
      </c>
      <c r="M261" s="3">
        <v>1297600</v>
      </c>
      <c r="N261" s="3">
        <v>1832800</v>
      </c>
      <c r="O261" s="4">
        <v>0.02</v>
      </c>
      <c r="P261" s="3">
        <v>36656</v>
      </c>
      <c r="Q261" s="3">
        <v>1796144</v>
      </c>
      <c r="R261" s="3">
        <v>498544</v>
      </c>
      <c r="S261" t="s">
        <v>47</v>
      </c>
      <c r="T261" t="s">
        <v>48</v>
      </c>
      <c r="U261" t="s">
        <v>49</v>
      </c>
      <c r="V261" s="5">
        <v>0.27756349156860483</v>
      </c>
    </row>
    <row r="262" spans="1:22" x14ac:dyDescent="0.35">
      <c r="A262" t="s">
        <v>697</v>
      </c>
      <c r="B262" s="2">
        <v>45848</v>
      </c>
      <c r="C262" t="s">
        <v>698</v>
      </c>
      <c r="D262" t="s">
        <v>94</v>
      </c>
      <c r="E262" t="s">
        <v>61</v>
      </c>
      <c r="F262" t="s">
        <v>81</v>
      </c>
      <c r="G262" t="s">
        <v>82</v>
      </c>
      <c r="H262" t="s">
        <v>64</v>
      </c>
      <c r="I262" t="s">
        <v>103</v>
      </c>
      <c r="J262" t="s">
        <v>46</v>
      </c>
      <c r="K262">
        <v>6</v>
      </c>
      <c r="L262" s="3">
        <v>687000</v>
      </c>
      <c r="M262" s="3">
        <v>3052200</v>
      </c>
      <c r="N262" s="3">
        <v>4122000</v>
      </c>
      <c r="O262" s="4">
        <v>0.05</v>
      </c>
      <c r="P262" s="3">
        <v>206100</v>
      </c>
      <c r="Q262" s="3">
        <v>3915900</v>
      </c>
      <c r="R262" s="3">
        <v>863700</v>
      </c>
      <c r="S262" t="s">
        <v>47</v>
      </c>
      <c r="T262" t="s">
        <v>48</v>
      </c>
      <c r="U262" t="s">
        <v>49</v>
      </c>
      <c r="V262" s="5">
        <v>0.22056232283766181</v>
      </c>
    </row>
    <row r="263" spans="1:22" x14ac:dyDescent="0.35">
      <c r="A263" t="s">
        <v>699</v>
      </c>
      <c r="B263" s="2">
        <v>45849</v>
      </c>
      <c r="C263" t="s">
        <v>700</v>
      </c>
      <c r="D263" t="s">
        <v>701</v>
      </c>
      <c r="E263" t="s">
        <v>61</v>
      </c>
      <c r="F263" t="s">
        <v>62</v>
      </c>
      <c r="G263" t="s">
        <v>63</v>
      </c>
      <c r="H263" t="s">
        <v>64</v>
      </c>
      <c r="I263" t="s">
        <v>140</v>
      </c>
      <c r="J263" t="s">
        <v>46</v>
      </c>
      <c r="K263">
        <v>8</v>
      </c>
      <c r="L263" s="3">
        <v>265800</v>
      </c>
      <c r="M263" s="3">
        <v>1780000</v>
      </c>
      <c r="N263" s="3">
        <v>2126400</v>
      </c>
      <c r="O263" s="4">
        <v>0.05</v>
      </c>
      <c r="P263" s="3">
        <v>106320</v>
      </c>
      <c r="Q263" s="3">
        <v>2020080</v>
      </c>
      <c r="R263" s="3">
        <v>240080</v>
      </c>
      <c r="S263" t="s">
        <v>67</v>
      </c>
      <c r="T263" t="s">
        <v>77</v>
      </c>
      <c r="U263" t="s">
        <v>49</v>
      </c>
      <c r="V263" s="5">
        <v>0.1188467783454121</v>
      </c>
    </row>
    <row r="264" spans="1:22" x14ac:dyDescent="0.35">
      <c r="A264" t="s">
        <v>702</v>
      </c>
      <c r="B264" s="2">
        <v>45849</v>
      </c>
      <c r="C264" t="s">
        <v>703</v>
      </c>
      <c r="D264" t="s">
        <v>704</v>
      </c>
      <c r="E264" t="s">
        <v>41</v>
      </c>
      <c r="F264" t="s">
        <v>200</v>
      </c>
      <c r="G264" t="s">
        <v>201</v>
      </c>
      <c r="H264" t="s">
        <v>99</v>
      </c>
      <c r="I264" t="s">
        <v>45</v>
      </c>
      <c r="J264" t="s">
        <v>46</v>
      </c>
      <c r="K264">
        <v>1</v>
      </c>
      <c r="L264" s="3">
        <v>394000</v>
      </c>
      <c r="M264" s="3">
        <v>330900</v>
      </c>
      <c r="N264" s="3">
        <v>394000</v>
      </c>
      <c r="O264" s="4">
        <v>0.02</v>
      </c>
      <c r="P264" s="3">
        <v>7880</v>
      </c>
      <c r="Q264" s="3">
        <v>386120</v>
      </c>
      <c r="R264" s="3">
        <v>55220</v>
      </c>
      <c r="S264" t="s">
        <v>57</v>
      </c>
      <c r="T264" t="s">
        <v>48</v>
      </c>
      <c r="U264" t="s">
        <v>68</v>
      </c>
      <c r="V264" s="5">
        <v>0.14301253496322389</v>
      </c>
    </row>
    <row r="265" spans="1:22" x14ac:dyDescent="0.35">
      <c r="A265" t="s">
        <v>705</v>
      </c>
      <c r="B265" s="2">
        <v>45850</v>
      </c>
      <c r="C265" t="s">
        <v>228</v>
      </c>
      <c r="D265" t="s">
        <v>706</v>
      </c>
      <c r="E265" t="s">
        <v>41</v>
      </c>
      <c r="F265" t="s">
        <v>98</v>
      </c>
      <c r="G265" t="s">
        <v>98</v>
      </c>
      <c r="H265" t="s">
        <v>99</v>
      </c>
      <c r="I265" t="s">
        <v>55</v>
      </c>
      <c r="J265" t="s">
        <v>56</v>
      </c>
      <c r="K265">
        <v>3</v>
      </c>
      <c r="L265" s="3">
        <v>35200</v>
      </c>
      <c r="M265" s="3">
        <v>64800</v>
      </c>
      <c r="N265" s="3">
        <v>105600</v>
      </c>
      <c r="O265" s="4">
        <v>0.1</v>
      </c>
      <c r="P265" s="3">
        <v>10560</v>
      </c>
      <c r="Q265" s="3">
        <v>95040</v>
      </c>
      <c r="R265" s="3">
        <v>30240</v>
      </c>
      <c r="S265" t="s">
        <v>121</v>
      </c>
      <c r="T265" t="s">
        <v>77</v>
      </c>
      <c r="U265" t="s">
        <v>49</v>
      </c>
      <c r="V265" s="5">
        <v>0.31818181818181818</v>
      </c>
    </row>
    <row r="266" spans="1:22" x14ac:dyDescent="0.35">
      <c r="A266" t="s">
        <v>707</v>
      </c>
      <c r="B266" s="2">
        <v>45850</v>
      </c>
      <c r="C266" t="s">
        <v>708</v>
      </c>
      <c r="D266" t="s">
        <v>282</v>
      </c>
      <c r="E266" t="s">
        <v>41</v>
      </c>
      <c r="F266" t="s">
        <v>98</v>
      </c>
      <c r="G266" t="s">
        <v>98</v>
      </c>
      <c r="H266" t="s">
        <v>99</v>
      </c>
      <c r="I266" t="s">
        <v>55</v>
      </c>
      <c r="J266" t="s">
        <v>56</v>
      </c>
      <c r="K266">
        <v>5</v>
      </c>
      <c r="L266" s="3">
        <v>35400</v>
      </c>
      <c r="M266" s="3">
        <v>103000</v>
      </c>
      <c r="N266" s="3">
        <v>177000</v>
      </c>
      <c r="O266" s="4">
        <v>0</v>
      </c>
      <c r="P266" s="3">
        <v>0</v>
      </c>
      <c r="Q266" s="3">
        <v>177000</v>
      </c>
      <c r="R266" s="3">
        <v>74000</v>
      </c>
      <c r="S266" t="s">
        <v>47</v>
      </c>
      <c r="T266" t="s">
        <v>48</v>
      </c>
      <c r="U266" t="s">
        <v>49</v>
      </c>
      <c r="V266" s="5">
        <v>0.41807909604519772</v>
      </c>
    </row>
    <row r="267" spans="1:22" x14ac:dyDescent="0.35">
      <c r="A267" t="s">
        <v>709</v>
      </c>
      <c r="B267" s="2">
        <v>45851</v>
      </c>
      <c r="C267" t="s">
        <v>389</v>
      </c>
      <c r="D267" t="s">
        <v>484</v>
      </c>
      <c r="E267" t="s">
        <v>41</v>
      </c>
      <c r="F267" t="s">
        <v>81</v>
      </c>
      <c r="G267" t="s">
        <v>82</v>
      </c>
      <c r="H267" t="s">
        <v>64</v>
      </c>
      <c r="I267" t="s">
        <v>90</v>
      </c>
      <c r="J267" t="s">
        <v>91</v>
      </c>
      <c r="K267">
        <v>7</v>
      </c>
      <c r="L267" s="3">
        <v>169400</v>
      </c>
      <c r="M267" s="3">
        <v>856100</v>
      </c>
      <c r="N267" s="3">
        <v>1185800</v>
      </c>
      <c r="O267" s="4">
        <v>0.05</v>
      </c>
      <c r="P267" s="3">
        <v>0</v>
      </c>
      <c r="Q267" s="3">
        <v>0</v>
      </c>
      <c r="R267" s="3">
        <v>0</v>
      </c>
      <c r="S267" t="s">
        <v>121</v>
      </c>
      <c r="T267" t="s">
        <v>48</v>
      </c>
      <c r="U267" t="s">
        <v>127</v>
      </c>
      <c r="V267" s="5">
        <v>0</v>
      </c>
    </row>
    <row r="268" spans="1:22" x14ac:dyDescent="0.35">
      <c r="A268" t="s">
        <v>710</v>
      </c>
      <c r="B268" s="2">
        <v>45852</v>
      </c>
      <c r="C268" t="s">
        <v>590</v>
      </c>
      <c r="D268" t="s">
        <v>282</v>
      </c>
      <c r="E268" t="s">
        <v>41</v>
      </c>
      <c r="F268" t="s">
        <v>168</v>
      </c>
      <c r="G268" t="s">
        <v>169</v>
      </c>
      <c r="H268" t="s">
        <v>74</v>
      </c>
      <c r="I268" t="s">
        <v>90</v>
      </c>
      <c r="J268" t="s">
        <v>91</v>
      </c>
      <c r="K268">
        <v>4</v>
      </c>
      <c r="L268" s="3">
        <v>167400</v>
      </c>
      <c r="M268" s="3">
        <v>491600</v>
      </c>
      <c r="N268" s="3">
        <v>669600</v>
      </c>
      <c r="O268" s="4">
        <v>0</v>
      </c>
      <c r="P268" s="3">
        <v>0</v>
      </c>
      <c r="Q268" s="3">
        <v>0</v>
      </c>
      <c r="R268" s="3">
        <v>0</v>
      </c>
      <c r="S268" t="s">
        <v>57</v>
      </c>
      <c r="T268" t="s">
        <v>77</v>
      </c>
      <c r="U268" t="s">
        <v>127</v>
      </c>
      <c r="V268" s="5">
        <v>0</v>
      </c>
    </row>
    <row r="269" spans="1:22" x14ac:dyDescent="0.35">
      <c r="A269" t="s">
        <v>711</v>
      </c>
      <c r="B269" s="2">
        <v>45852</v>
      </c>
      <c r="C269" t="s">
        <v>712</v>
      </c>
      <c r="D269" t="s">
        <v>558</v>
      </c>
      <c r="E269" t="s">
        <v>61</v>
      </c>
      <c r="F269" t="s">
        <v>168</v>
      </c>
      <c r="G269" t="s">
        <v>169</v>
      </c>
      <c r="H269" t="s">
        <v>74</v>
      </c>
      <c r="I269" t="s">
        <v>156</v>
      </c>
      <c r="J269" t="s">
        <v>91</v>
      </c>
      <c r="K269">
        <v>8</v>
      </c>
      <c r="L269" s="3">
        <v>251200</v>
      </c>
      <c r="M269" s="3">
        <v>1338400</v>
      </c>
      <c r="N269" s="3">
        <v>2009600</v>
      </c>
      <c r="O269" s="4">
        <v>0.05</v>
      </c>
      <c r="P269" s="3">
        <v>100480</v>
      </c>
      <c r="Q269" s="3">
        <v>1909120</v>
      </c>
      <c r="R269" s="3">
        <v>570720</v>
      </c>
      <c r="S269" t="s">
        <v>121</v>
      </c>
      <c r="T269" t="s">
        <v>77</v>
      </c>
      <c r="U269" t="s">
        <v>68</v>
      </c>
      <c r="V269" s="5">
        <v>0.29894401609118337</v>
      </c>
    </row>
    <row r="270" spans="1:22" x14ac:dyDescent="0.35">
      <c r="A270" t="s">
        <v>713</v>
      </c>
      <c r="B270" s="2">
        <v>45852</v>
      </c>
      <c r="C270" t="s">
        <v>583</v>
      </c>
      <c r="D270" t="s">
        <v>714</v>
      </c>
      <c r="E270" t="s">
        <v>41</v>
      </c>
      <c r="F270" t="s">
        <v>42</v>
      </c>
      <c r="G270" t="s">
        <v>43</v>
      </c>
      <c r="H270" t="s">
        <v>44</v>
      </c>
      <c r="I270" t="s">
        <v>83</v>
      </c>
      <c r="J270" t="s">
        <v>56</v>
      </c>
      <c r="K270">
        <v>8</v>
      </c>
      <c r="L270" s="3">
        <v>45300</v>
      </c>
      <c r="M270" s="3">
        <v>228000</v>
      </c>
      <c r="N270" s="3">
        <v>362400</v>
      </c>
      <c r="O270" s="4">
        <v>0</v>
      </c>
      <c r="P270" s="3">
        <v>0</v>
      </c>
      <c r="Q270" s="3">
        <v>362400</v>
      </c>
      <c r="R270" s="3">
        <v>134400</v>
      </c>
      <c r="S270" t="s">
        <v>67</v>
      </c>
      <c r="T270" t="s">
        <v>48</v>
      </c>
      <c r="U270" t="s">
        <v>68</v>
      </c>
      <c r="V270" s="5">
        <v>0.37086092715231789</v>
      </c>
    </row>
    <row r="271" spans="1:22" x14ac:dyDescent="0.35">
      <c r="A271" t="s">
        <v>715</v>
      </c>
      <c r="B271" s="2">
        <v>45853</v>
      </c>
      <c r="C271" t="s">
        <v>698</v>
      </c>
      <c r="D271" t="s">
        <v>171</v>
      </c>
      <c r="E271" t="s">
        <v>41</v>
      </c>
      <c r="F271" t="s">
        <v>73</v>
      </c>
      <c r="G271" t="s">
        <v>73</v>
      </c>
      <c r="H271" t="s">
        <v>74</v>
      </c>
      <c r="I271" t="s">
        <v>65</v>
      </c>
      <c r="J271" t="s">
        <v>66</v>
      </c>
      <c r="K271">
        <v>7</v>
      </c>
      <c r="L271" s="3">
        <v>167000</v>
      </c>
      <c r="M271" s="3">
        <v>794500</v>
      </c>
      <c r="N271" s="3">
        <v>1169000</v>
      </c>
      <c r="O271" s="4">
        <v>0</v>
      </c>
      <c r="P271" s="3">
        <v>0</v>
      </c>
      <c r="Q271" s="3">
        <v>1169000</v>
      </c>
      <c r="R271" s="3">
        <v>374500</v>
      </c>
      <c r="S271" t="s">
        <v>121</v>
      </c>
      <c r="T271" t="s">
        <v>48</v>
      </c>
      <c r="U271" t="s">
        <v>49</v>
      </c>
      <c r="V271" s="5">
        <v>0.32035928143712578</v>
      </c>
    </row>
    <row r="272" spans="1:22" x14ac:dyDescent="0.35">
      <c r="A272" t="s">
        <v>716</v>
      </c>
      <c r="B272" s="2">
        <v>45854</v>
      </c>
      <c r="C272" t="s">
        <v>717</v>
      </c>
      <c r="D272" t="s">
        <v>718</v>
      </c>
      <c r="E272" t="s">
        <v>41</v>
      </c>
      <c r="F272" t="s">
        <v>73</v>
      </c>
      <c r="G272" t="s">
        <v>73</v>
      </c>
      <c r="H272" t="s">
        <v>74</v>
      </c>
      <c r="I272" t="s">
        <v>113</v>
      </c>
      <c r="J272" t="s">
        <v>66</v>
      </c>
      <c r="K272">
        <v>2</v>
      </c>
      <c r="L272" s="3">
        <v>194400</v>
      </c>
      <c r="M272" s="3">
        <v>291200</v>
      </c>
      <c r="N272" s="3">
        <v>388800</v>
      </c>
      <c r="O272" s="4">
        <v>0</v>
      </c>
      <c r="P272" s="3">
        <v>0</v>
      </c>
      <c r="Q272" s="3">
        <v>388800</v>
      </c>
      <c r="R272" s="3">
        <v>97600</v>
      </c>
      <c r="S272" t="s">
        <v>121</v>
      </c>
      <c r="T272" t="s">
        <v>77</v>
      </c>
      <c r="U272" t="s">
        <v>49</v>
      </c>
      <c r="V272" s="5">
        <v>0.25102880658436222</v>
      </c>
    </row>
    <row r="273" spans="1:22" x14ac:dyDescent="0.35">
      <c r="A273" t="s">
        <v>719</v>
      </c>
      <c r="B273" s="2">
        <v>45854</v>
      </c>
      <c r="C273" t="s">
        <v>334</v>
      </c>
      <c r="D273" t="s">
        <v>484</v>
      </c>
      <c r="E273" t="s">
        <v>41</v>
      </c>
      <c r="F273" t="s">
        <v>125</v>
      </c>
      <c r="G273" t="s">
        <v>126</v>
      </c>
      <c r="H273" t="s">
        <v>64</v>
      </c>
      <c r="I273" t="s">
        <v>55</v>
      </c>
      <c r="J273" t="s">
        <v>56</v>
      </c>
      <c r="K273">
        <v>5</v>
      </c>
      <c r="L273" s="3">
        <v>37400</v>
      </c>
      <c r="M273" s="3">
        <v>103500</v>
      </c>
      <c r="N273" s="3">
        <v>187000</v>
      </c>
      <c r="O273" s="4">
        <v>0</v>
      </c>
      <c r="P273" s="3">
        <v>0</v>
      </c>
      <c r="Q273" s="3">
        <v>187000</v>
      </c>
      <c r="R273" s="3">
        <v>83500</v>
      </c>
      <c r="S273" t="s">
        <v>67</v>
      </c>
      <c r="T273" t="s">
        <v>48</v>
      </c>
      <c r="U273" t="s">
        <v>49</v>
      </c>
      <c r="V273" s="5">
        <v>0.446524064171123</v>
      </c>
    </row>
    <row r="274" spans="1:22" x14ac:dyDescent="0.35">
      <c r="A274" t="s">
        <v>720</v>
      </c>
      <c r="B274" s="2">
        <v>45855</v>
      </c>
      <c r="C274" t="s">
        <v>721</v>
      </c>
      <c r="D274" t="s">
        <v>722</v>
      </c>
      <c r="E274" t="s">
        <v>61</v>
      </c>
      <c r="F274" t="s">
        <v>195</v>
      </c>
      <c r="G274" t="s">
        <v>195</v>
      </c>
      <c r="H274" t="s">
        <v>196</v>
      </c>
      <c r="I274" t="s">
        <v>140</v>
      </c>
      <c r="J274" t="s">
        <v>46</v>
      </c>
      <c r="K274">
        <v>2</v>
      </c>
      <c r="L274" s="3">
        <v>281900</v>
      </c>
      <c r="M274" s="3">
        <v>440000</v>
      </c>
      <c r="N274" s="3">
        <v>563800</v>
      </c>
      <c r="O274" s="4">
        <v>0.02</v>
      </c>
      <c r="P274" s="3">
        <v>11276</v>
      </c>
      <c r="Q274" s="3">
        <v>552524</v>
      </c>
      <c r="R274" s="3">
        <v>112524</v>
      </c>
      <c r="S274" t="s">
        <v>57</v>
      </c>
      <c r="T274" t="s">
        <v>107</v>
      </c>
      <c r="U274" t="s">
        <v>49</v>
      </c>
      <c r="V274" s="5">
        <v>0.2036545018858909</v>
      </c>
    </row>
    <row r="275" spans="1:22" x14ac:dyDescent="0.35">
      <c r="A275" t="s">
        <v>723</v>
      </c>
      <c r="B275" s="2">
        <v>45855</v>
      </c>
      <c r="C275" t="s">
        <v>724</v>
      </c>
      <c r="D275" t="s">
        <v>725</v>
      </c>
      <c r="E275" t="s">
        <v>41</v>
      </c>
      <c r="F275" t="s">
        <v>62</v>
      </c>
      <c r="G275" t="s">
        <v>63</v>
      </c>
      <c r="H275" t="s">
        <v>64</v>
      </c>
      <c r="I275" t="s">
        <v>83</v>
      </c>
      <c r="J275" t="s">
        <v>56</v>
      </c>
      <c r="K275">
        <v>5</v>
      </c>
      <c r="L275" s="3">
        <v>43300</v>
      </c>
      <c r="M275" s="3">
        <v>138000</v>
      </c>
      <c r="N275" s="3">
        <v>216500</v>
      </c>
      <c r="O275" s="4">
        <v>0</v>
      </c>
      <c r="P275" s="3">
        <v>0</v>
      </c>
      <c r="Q275" s="3">
        <v>216500</v>
      </c>
      <c r="R275" s="3">
        <v>78500</v>
      </c>
      <c r="S275" t="s">
        <v>47</v>
      </c>
      <c r="T275" t="s">
        <v>77</v>
      </c>
      <c r="U275" t="s">
        <v>49</v>
      </c>
      <c r="V275" s="5">
        <v>0.3625866050808314</v>
      </c>
    </row>
    <row r="276" spans="1:22" x14ac:dyDescent="0.35">
      <c r="A276" t="s">
        <v>726</v>
      </c>
      <c r="B276" s="2">
        <v>45856</v>
      </c>
      <c r="C276" t="s">
        <v>148</v>
      </c>
      <c r="D276" t="s">
        <v>192</v>
      </c>
      <c r="E276" t="s">
        <v>61</v>
      </c>
      <c r="F276" t="s">
        <v>73</v>
      </c>
      <c r="G276" t="s">
        <v>73</v>
      </c>
      <c r="H276" t="s">
        <v>74</v>
      </c>
      <c r="I276" t="s">
        <v>113</v>
      </c>
      <c r="J276" t="s">
        <v>66</v>
      </c>
      <c r="K276">
        <v>8</v>
      </c>
      <c r="L276" s="3">
        <v>203200</v>
      </c>
      <c r="M276" s="3">
        <v>1214400</v>
      </c>
      <c r="N276" s="3">
        <v>1625600</v>
      </c>
      <c r="O276" s="4">
        <v>0</v>
      </c>
      <c r="P276" s="3">
        <v>0</v>
      </c>
      <c r="Q276" s="3">
        <v>1625600</v>
      </c>
      <c r="R276" s="3">
        <v>411200</v>
      </c>
      <c r="S276" t="s">
        <v>67</v>
      </c>
      <c r="T276" t="s">
        <v>48</v>
      </c>
      <c r="U276" t="s">
        <v>49</v>
      </c>
      <c r="V276" s="5">
        <v>0.25295275590551181</v>
      </c>
    </row>
    <row r="277" spans="1:22" x14ac:dyDescent="0.35">
      <c r="A277" t="s">
        <v>727</v>
      </c>
      <c r="B277" s="2">
        <v>45857</v>
      </c>
      <c r="C277" t="s">
        <v>324</v>
      </c>
      <c r="D277" t="s">
        <v>728</v>
      </c>
      <c r="E277" t="s">
        <v>41</v>
      </c>
      <c r="F277" t="s">
        <v>53</v>
      </c>
      <c r="G277" t="s">
        <v>54</v>
      </c>
      <c r="H277" t="s">
        <v>44</v>
      </c>
      <c r="I277" t="s">
        <v>120</v>
      </c>
      <c r="J277" t="s">
        <v>56</v>
      </c>
      <c r="K277">
        <v>3</v>
      </c>
      <c r="L277" s="3">
        <v>82900</v>
      </c>
      <c r="M277" s="3">
        <v>152100</v>
      </c>
      <c r="N277" s="3">
        <v>248700</v>
      </c>
      <c r="O277" s="4">
        <v>0.08</v>
      </c>
      <c r="P277" s="3">
        <v>19896</v>
      </c>
      <c r="Q277" s="3">
        <v>228804</v>
      </c>
      <c r="R277" s="3">
        <v>76704</v>
      </c>
      <c r="S277" t="s">
        <v>57</v>
      </c>
      <c r="T277" t="s">
        <v>48</v>
      </c>
      <c r="U277" t="s">
        <v>49</v>
      </c>
      <c r="V277" s="5">
        <v>0.33523889442492272</v>
      </c>
    </row>
    <row r="278" spans="1:22" x14ac:dyDescent="0.35">
      <c r="A278" t="s">
        <v>729</v>
      </c>
      <c r="B278" s="2">
        <v>45858</v>
      </c>
      <c r="C278" t="s">
        <v>730</v>
      </c>
      <c r="D278" t="s">
        <v>731</v>
      </c>
      <c r="E278" t="s">
        <v>41</v>
      </c>
      <c r="F278" t="s">
        <v>125</v>
      </c>
      <c r="G278" t="s">
        <v>126</v>
      </c>
      <c r="H278" t="s">
        <v>64</v>
      </c>
      <c r="I278" t="s">
        <v>113</v>
      </c>
      <c r="J278" t="s">
        <v>66</v>
      </c>
      <c r="K278">
        <v>5</v>
      </c>
      <c r="L278" s="3">
        <v>201700</v>
      </c>
      <c r="M278" s="3">
        <v>733000</v>
      </c>
      <c r="N278" s="3">
        <v>1008500</v>
      </c>
      <c r="O278" s="4">
        <v>0.02</v>
      </c>
      <c r="P278" s="3">
        <v>20170</v>
      </c>
      <c r="Q278" s="3">
        <v>988330</v>
      </c>
      <c r="R278" s="3">
        <v>255330</v>
      </c>
      <c r="S278" t="s">
        <v>47</v>
      </c>
      <c r="T278" t="s">
        <v>107</v>
      </c>
      <c r="U278" t="s">
        <v>49</v>
      </c>
      <c r="V278" s="5">
        <v>0.2583448848056823</v>
      </c>
    </row>
    <row r="279" spans="1:22" x14ac:dyDescent="0.35">
      <c r="A279" t="s">
        <v>732</v>
      </c>
      <c r="B279" s="2">
        <v>45860</v>
      </c>
      <c r="C279" t="s">
        <v>733</v>
      </c>
      <c r="D279" t="s">
        <v>734</v>
      </c>
      <c r="E279" t="s">
        <v>61</v>
      </c>
      <c r="F279" t="s">
        <v>98</v>
      </c>
      <c r="G279" t="s">
        <v>98</v>
      </c>
      <c r="H279" t="s">
        <v>99</v>
      </c>
      <c r="I279" t="s">
        <v>120</v>
      </c>
      <c r="J279" t="s">
        <v>56</v>
      </c>
      <c r="K279">
        <v>1</v>
      </c>
      <c r="L279" s="3">
        <v>81500</v>
      </c>
      <c r="M279" s="3">
        <v>50000</v>
      </c>
      <c r="N279" s="3">
        <v>81500</v>
      </c>
      <c r="O279" s="4">
        <v>0.02</v>
      </c>
      <c r="P279" s="3">
        <v>1630</v>
      </c>
      <c r="Q279" s="3">
        <v>79870</v>
      </c>
      <c r="R279" s="3">
        <v>29870</v>
      </c>
      <c r="S279" t="s">
        <v>121</v>
      </c>
      <c r="T279" t="s">
        <v>48</v>
      </c>
      <c r="U279" t="s">
        <v>49</v>
      </c>
      <c r="V279" s="5">
        <v>0.37398272192312509</v>
      </c>
    </row>
    <row r="280" spans="1:22" x14ac:dyDescent="0.35">
      <c r="A280" t="s">
        <v>735</v>
      </c>
      <c r="B280" s="2">
        <v>45861</v>
      </c>
      <c r="C280" t="s">
        <v>736</v>
      </c>
      <c r="D280" t="s">
        <v>510</v>
      </c>
      <c r="E280" t="s">
        <v>61</v>
      </c>
      <c r="F280" t="s">
        <v>62</v>
      </c>
      <c r="G280" t="s">
        <v>63</v>
      </c>
      <c r="H280" t="s">
        <v>64</v>
      </c>
      <c r="I280" t="s">
        <v>55</v>
      </c>
      <c r="J280" t="s">
        <v>56</v>
      </c>
      <c r="K280">
        <v>3</v>
      </c>
      <c r="L280" s="3">
        <v>37100</v>
      </c>
      <c r="M280" s="3">
        <v>63000</v>
      </c>
      <c r="N280" s="3">
        <v>111300</v>
      </c>
      <c r="O280" s="4">
        <v>0.05</v>
      </c>
      <c r="P280" s="3">
        <v>5565</v>
      </c>
      <c r="Q280" s="3">
        <v>105735</v>
      </c>
      <c r="R280" s="3">
        <v>42735</v>
      </c>
      <c r="S280" t="s">
        <v>57</v>
      </c>
      <c r="T280" t="s">
        <v>48</v>
      </c>
      <c r="U280" t="s">
        <v>49</v>
      </c>
      <c r="V280" s="5">
        <v>0.40417080436941411</v>
      </c>
    </row>
    <row r="281" spans="1:22" x14ac:dyDescent="0.35">
      <c r="A281" t="s">
        <v>737</v>
      </c>
      <c r="B281" s="2">
        <v>45861</v>
      </c>
      <c r="C281" t="s">
        <v>513</v>
      </c>
      <c r="D281" t="s">
        <v>731</v>
      </c>
      <c r="E281" t="s">
        <v>41</v>
      </c>
      <c r="F281" t="s">
        <v>73</v>
      </c>
      <c r="G281" t="s">
        <v>73</v>
      </c>
      <c r="H281" t="s">
        <v>74</v>
      </c>
      <c r="I281" t="s">
        <v>120</v>
      </c>
      <c r="J281" t="s">
        <v>56</v>
      </c>
      <c r="K281">
        <v>7</v>
      </c>
      <c r="L281" s="3">
        <v>83700</v>
      </c>
      <c r="M281" s="3">
        <v>354200</v>
      </c>
      <c r="N281" s="3">
        <v>585900</v>
      </c>
      <c r="O281" s="4">
        <v>0.1</v>
      </c>
      <c r="P281" s="3">
        <v>58590</v>
      </c>
      <c r="Q281" s="3">
        <v>527310</v>
      </c>
      <c r="R281" s="3">
        <v>173110</v>
      </c>
      <c r="S281" t="s">
        <v>121</v>
      </c>
      <c r="T281" t="s">
        <v>48</v>
      </c>
      <c r="U281" t="s">
        <v>68</v>
      </c>
      <c r="V281" s="5">
        <v>0.32828886233904148</v>
      </c>
    </row>
    <row r="282" spans="1:22" x14ac:dyDescent="0.35">
      <c r="A282" t="s">
        <v>738</v>
      </c>
      <c r="B282" s="2">
        <v>45863</v>
      </c>
      <c r="C282" t="s">
        <v>739</v>
      </c>
      <c r="D282" t="s">
        <v>740</v>
      </c>
      <c r="E282" t="s">
        <v>41</v>
      </c>
      <c r="F282" t="s">
        <v>73</v>
      </c>
      <c r="G282" t="s">
        <v>73</v>
      </c>
      <c r="H282" t="s">
        <v>74</v>
      </c>
      <c r="I282" t="s">
        <v>113</v>
      </c>
      <c r="J282" t="s">
        <v>66</v>
      </c>
      <c r="K282">
        <v>4</v>
      </c>
      <c r="L282" s="3">
        <v>193600</v>
      </c>
      <c r="M282" s="3">
        <v>619600</v>
      </c>
      <c r="N282" s="3">
        <v>774400</v>
      </c>
      <c r="O282" s="4">
        <v>0</v>
      </c>
      <c r="P282" s="3">
        <v>0</v>
      </c>
      <c r="Q282" s="3">
        <v>774400</v>
      </c>
      <c r="R282" s="3">
        <v>154800</v>
      </c>
      <c r="S282" t="s">
        <v>47</v>
      </c>
      <c r="T282" t="s">
        <v>48</v>
      </c>
      <c r="U282" t="s">
        <v>49</v>
      </c>
      <c r="V282" s="5">
        <v>0.19989669421487599</v>
      </c>
    </row>
    <row r="283" spans="1:22" x14ac:dyDescent="0.35">
      <c r="A283" t="s">
        <v>741</v>
      </c>
      <c r="B283" s="2">
        <v>45863</v>
      </c>
      <c r="C283" t="s">
        <v>742</v>
      </c>
      <c r="D283" t="s">
        <v>743</v>
      </c>
      <c r="E283" t="s">
        <v>41</v>
      </c>
      <c r="F283" t="s">
        <v>53</v>
      </c>
      <c r="G283" t="s">
        <v>54</v>
      </c>
      <c r="H283" t="s">
        <v>44</v>
      </c>
      <c r="I283" t="s">
        <v>103</v>
      </c>
      <c r="J283" t="s">
        <v>46</v>
      </c>
      <c r="K283">
        <v>7</v>
      </c>
      <c r="L283" s="3">
        <v>700000</v>
      </c>
      <c r="M283" s="3">
        <v>3670800</v>
      </c>
      <c r="N283" s="3">
        <v>4900000</v>
      </c>
      <c r="O283" s="4">
        <v>0.02</v>
      </c>
      <c r="P283" s="3">
        <v>98000</v>
      </c>
      <c r="Q283" s="3">
        <v>4802000</v>
      </c>
      <c r="R283" s="3">
        <v>1131200</v>
      </c>
      <c r="S283" t="s">
        <v>121</v>
      </c>
      <c r="T283" t="s">
        <v>48</v>
      </c>
      <c r="U283" t="s">
        <v>68</v>
      </c>
      <c r="V283" s="5">
        <v>0.2355685131195335</v>
      </c>
    </row>
    <row r="284" spans="1:22" x14ac:dyDescent="0.35">
      <c r="A284" t="s">
        <v>744</v>
      </c>
      <c r="B284" s="2">
        <v>45864</v>
      </c>
      <c r="C284" t="s">
        <v>145</v>
      </c>
      <c r="D284" t="s">
        <v>192</v>
      </c>
      <c r="E284" t="s">
        <v>41</v>
      </c>
      <c r="F284" t="s">
        <v>168</v>
      </c>
      <c r="G284" t="s">
        <v>169</v>
      </c>
      <c r="H284" t="s">
        <v>74</v>
      </c>
      <c r="I284" t="s">
        <v>75</v>
      </c>
      <c r="J284" t="s">
        <v>56</v>
      </c>
      <c r="K284">
        <v>6</v>
      </c>
      <c r="L284" s="3">
        <v>69200</v>
      </c>
      <c r="M284" s="3">
        <v>246600</v>
      </c>
      <c r="N284" s="3">
        <v>415200</v>
      </c>
      <c r="O284" s="4">
        <v>0.05</v>
      </c>
      <c r="P284" s="3">
        <v>20760</v>
      </c>
      <c r="Q284" s="3">
        <v>394440</v>
      </c>
      <c r="R284" s="3">
        <v>147840</v>
      </c>
      <c r="S284" t="s">
        <v>47</v>
      </c>
      <c r="T284" t="s">
        <v>48</v>
      </c>
      <c r="U284" t="s">
        <v>49</v>
      </c>
      <c r="V284" s="5">
        <v>0.37480985701247338</v>
      </c>
    </row>
    <row r="285" spans="1:22" x14ac:dyDescent="0.35">
      <c r="A285" t="s">
        <v>745</v>
      </c>
      <c r="B285" s="2">
        <v>45864</v>
      </c>
      <c r="C285" t="s">
        <v>746</v>
      </c>
      <c r="D285" t="s">
        <v>372</v>
      </c>
      <c r="E285" t="s">
        <v>41</v>
      </c>
      <c r="F285" t="s">
        <v>72</v>
      </c>
      <c r="G285" t="s">
        <v>73</v>
      </c>
      <c r="H285" t="s">
        <v>74</v>
      </c>
      <c r="I285" t="s">
        <v>75</v>
      </c>
      <c r="J285" t="s">
        <v>56</v>
      </c>
      <c r="K285">
        <v>6</v>
      </c>
      <c r="L285" s="3">
        <v>68600</v>
      </c>
      <c r="M285" s="3">
        <v>249600</v>
      </c>
      <c r="N285" s="3">
        <v>411600</v>
      </c>
      <c r="O285" s="4">
        <v>0.05</v>
      </c>
      <c r="P285" s="3">
        <v>20580</v>
      </c>
      <c r="Q285" s="3">
        <v>391020</v>
      </c>
      <c r="R285" s="3">
        <v>141420</v>
      </c>
      <c r="S285" t="s">
        <v>121</v>
      </c>
      <c r="T285" t="s">
        <v>48</v>
      </c>
      <c r="U285" t="s">
        <v>49</v>
      </c>
      <c r="V285" s="5">
        <v>0.36166947982200398</v>
      </c>
    </row>
    <row r="286" spans="1:22" x14ac:dyDescent="0.35">
      <c r="A286" t="s">
        <v>747</v>
      </c>
      <c r="B286" s="2">
        <v>45864</v>
      </c>
      <c r="C286" t="s">
        <v>712</v>
      </c>
      <c r="D286" t="s">
        <v>174</v>
      </c>
      <c r="E286" t="s">
        <v>41</v>
      </c>
      <c r="F286" t="s">
        <v>98</v>
      </c>
      <c r="G286" t="s">
        <v>98</v>
      </c>
      <c r="H286" t="s">
        <v>99</v>
      </c>
      <c r="I286" t="s">
        <v>120</v>
      </c>
      <c r="J286" t="s">
        <v>56</v>
      </c>
      <c r="K286">
        <v>4</v>
      </c>
      <c r="L286" s="3">
        <v>90100</v>
      </c>
      <c r="M286" s="3">
        <v>203200</v>
      </c>
      <c r="N286" s="3">
        <v>360400</v>
      </c>
      <c r="O286" s="4">
        <v>0.05</v>
      </c>
      <c r="P286" s="3">
        <v>18020</v>
      </c>
      <c r="Q286" s="3">
        <v>342380</v>
      </c>
      <c r="R286" s="3">
        <v>139180</v>
      </c>
      <c r="S286" t="s">
        <v>67</v>
      </c>
      <c r="T286" t="s">
        <v>107</v>
      </c>
      <c r="U286" t="s">
        <v>49</v>
      </c>
      <c r="V286" s="5">
        <v>0.40650738945031828</v>
      </c>
    </row>
    <row r="287" spans="1:22" x14ac:dyDescent="0.35">
      <c r="A287" t="s">
        <v>748</v>
      </c>
      <c r="B287" s="2">
        <v>45866</v>
      </c>
      <c r="C287" t="s">
        <v>133</v>
      </c>
      <c r="D287" t="s">
        <v>630</v>
      </c>
      <c r="E287" t="s">
        <v>41</v>
      </c>
      <c r="F287" t="s">
        <v>72</v>
      </c>
      <c r="G287" t="s">
        <v>73</v>
      </c>
      <c r="H287" t="s">
        <v>74</v>
      </c>
      <c r="I287" t="s">
        <v>103</v>
      </c>
      <c r="J287" t="s">
        <v>46</v>
      </c>
      <c r="K287">
        <v>5</v>
      </c>
      <c r="L287" s="3">
        <v>674200</v>
      </c>
      <c r="M287" s="3">
        <v>2603000</v>
      </c>
      <c r="N287" s="3">
        <v>3371000</v>
      </c>
      <c r="O287" s="4">
        <v>0</v>
      </c>
      <c r="P287" s="3">
        <v>0</v>
      </c>
      <c r="Q287" s="3">
        <v>3371000</v>
      </c>
      <c r="R287" s="3">
        <v>768000</v>
      </c>
      <c r="S287" t="s">
        <v>47</v>
      </c>
      <c r="T287" t="s">
        <v>77</v>
      </c>
      <c r="U287" t="s">
        <v>49</v>
      </c>
      <c r="V287" s="5">
        <v>0.227825571047167</v>
      </c>
    </row>
    <row r="288" spans="1:22" x14ac:dyDescent="0.35">
      <c r="A288" t="s">
        <v>749</v>
      </c>
      <c r="B288" s="2">
        <v>45866</v>
      </c>
      <c r="C288" t="s">
        <v>750</v>
      </c>
      <c r="D288" t="s">
        <v>751</v>
      </c>
      <c r="E288" t="s">
        <v>61</v>
      </c>
      <c r="F288" t="s">
        <v>53</v>
      </c>
      <c r="G288" t="s">
        <v>54</v>
      </c>
      <c r="H288" t="s">
        <v>44</v>
      </c>
      <c r="I288" t="s">
        <v>103</v>
      </c>
      <c r="J288" t="s">
        <v>46</v>
      </c>
      <c r="K288">
        <v>8</v>
      </c>
      <c r="L288" s="3">
        <v>607900</v>
      </c>
      <c r="M288" s="3">
        <v>4191200</v>
      </c>
      <c r="N288" s="3">
        <v>4863200</v>
      </c>
      <c r="O288" s="4">
        <v>0.05</v>
      </c>
      <c r="P288" s="3">
        <v>243160</v>
      </c>
      <c r="Q288" s="3">
        <v>4620040</v>
      </c>
      <c r="R288" s="3">
        <v>428840</v>
      </c>
      <c r="S288" t="s">
        <v>121</v>
      </c>
      <c r="T288" t="s">
        <v>77</v>
      </c>
      <c r="U288" t="s">
        <v>49</v>
      </c>
      <c r="V288" s="5">
        <v>9.282170717136648E-2</v>
      </c>
    </row>
    <row r="289" spans="1:22" x14ac:dyDescent="0.35">
      <c r="A289" t="s">
        <v>752</v>
      </c>
      <c r="B289" s="2">
        <v>45866</v>
      </c>
      <c r="C289" t="s">
        <v>361</v>
      </c>
      <c r="D289" t="s">
        <v>448</v>
      </c>
      <c r="E289" t="s">
        <v>41</v>
      </c>
      <c r="F289" t="s">
        <v>53</v>
      </c>
      <c r="G289" t="s">
        <v>54</v>
      </c>
      <c r="H289" t="s">
        <v>44</v>
      </c>
      <c r="I289" t="s">
        <v>140</v>
      </c>
      <c r="J289" t="s">
        <v>46</v>
      </c>
      <c r="K289">
        <v>7</v>
      </c>
      <c r="L289" s="3">
        <v>262100</v>
      </c>
      <c r="M289" s="3">
        <v>1517600</v>
      </c>
      <c r="N289" s="3">
        <v>1834700</v>
      </c>
      <c r="O289" s="4">
        <v>0.02</v>
      </c>
      <c r="P289" s="3">
        <v>36694</v>
      </c>
      <c r="Q289" s="3">
        <v>1798006</v>
      </c>
      <c r="R289" s="3">
        <v>280406</v>
      </c>
      <c r="S289" t="s">
        <v>76</v>
      </c>
      <c r="T289" t="s">
        <v>77</v>
      </c>
      <c r="U289" t="s">
        <v>49</v>
      </c>
      <c r="V289" s="5">
        <v>0.1559538733463626</v>
      </c>
    </row>
    <row r="290" spans="1:22" x14ac:dyDescent="0.35">
      <c r="A290" t="s">
        <v>753</v>
      </c>
      <c r="B290" s="2">
        <v>45866</v>
      </c>
      <c r="C290" t="s">
        <v>303</v>
      </c>
      <c r="D290" t="s">
        <v>754</v>
      </c>
      <c r="E290" t="s">
        <v>61</v>
      </c>
      <c r="F290" t="s">
        <v>81</v>
      </c>
      <c r="G290" t="s">
        <v>82</v>
      </c>
      <c r="H290" t="s">
        <v>64</v>
      </c>
      <c r="I290" t="s">
        <v>90</v>
      </c>
      <c r="J290" t="s">
        <v>91</v>
      </c>
      <c r="K290">
        <v>2</v>
      </c>
      <c r="L290" s="3">
        <v>169900</v>
      </c>
      <c r="M290" s="3">
        <v>252000</v>
      </c>
      <c r="N290" s="3">
        <v>339800</v>
      </c>
      <c r="O290" s="4">
        <v>0.05</v>
      </c>
      <c r="P290" s="3">
        <v>16990</v>
      </c>
      <c r="Q290" s="3">
        <v>322810</v>
      </c>
      <c r="R290" s="3">
        <v>70810</v>
      </c>
      <c r="S290" t="s">
        <v>67</v>
      </c>
      <c r="T290" t="s">
        <v>77</v>
      </c>
      <c r="U290" t="s">
        <v>49</v>
      </c>
      <c r="V290" s="5">
        <v>0.21935503856757849</v>
      </c>
    </row>
    <row r="291" spans="1:22" x14ac:dyDescent="0.35">
      <c r="A291" t="s">
        <v>755</v>
      </c>
      <c r="B291" s="2">
        <v>45867</v>
      </c>
      <c r="C291" t="s">
        <v>695</v>
      </c>
      <c r="D291" t="s">
        <v>756</v>
      </c>
      <c r="E291" t="s">
        <v>41</v>
      </c>
      <c r="F291" t="s">
        <v>42</v>
      </c>
      <c r="G291" t="s">
        <v>43</v>
      </c>
      <c r="H291" t="s">
        <v>44</v>
      </c>
      <c r="I291" t="s">
        <v>120</v>
      </c>
      <c r="J291" t="s">
        <v>56</v>
      </c>
      <c r="K291">
        <v>7</v>
      </c>
      <c r="L291" s="3">
        <v>83700</v>
      </c>
      <c r="M291" s="3">
        <v>366100</v>
      </c>
      <c r="N291" s="3">
        <v>585900</v>
      </c>
      <c r="O291" s="4">
        <v>0.05</v>
      </c>
      <c r="P291" s="3">
        <v>29295</v>
      </c>
      <c r="Q291" s="3">
        <v>556605</v>
      </c>
      <c r="R291" s="3">
        <v>190505</v>
      </c>
      <c r="S291" t="s">
        <v>67</v>
      </c>
      <c r="T291" t="s">
        <v>48</v>
      </c>
      <c r="U291" t="s">
        <v>49</v>
      </c>
      <c r="V291" s="5">
        <v>0.34226246620134559</v>
      </c>
    </row>
    <row r="292" spans="1:22" x14ac:dyDescent="0.35">
      <c r="A292" t="s">
        <v>757</v>
      </c>
      <c r="B292" s="2">
        <v>45868</v>
      </c>
      <c r="C292" t="s">
        <v>758</v>
      </c>
      <c r="D292" t="s">
        <v>759</v>
      </c>
      <c r="E292" t="s">
        <v>41</v>
      </c>
      <c r="F292" t="s">
        <v>98</v>
      </c>
      <c r="G292" t="s">
        <v>98</v>
      </c>
      <c r="H292" t="s">
        <v>99</v>
      </c>
      <c r="I292" t="s">
        <v>83</v>
      </c>
      <c r="J292" t="s">
        <v>56</v>
      </c>
      <c r="K292">
        <v>5</v>
      </c>
      <c r="L292" s="3">
        <v>47100</v>
      </c>
      <c r="M292" s="3">
        <v>142000</v>
      </c>
      <c r="N292" s="3">
        <v>235500</v>
      </c>
      <c r="O292" s="4">
        <v>0.02</v>
      </c>
      <c r="P292" s="3">
        <v>4710</v>
      </c>
      <c r="Q292" s="3">
        <v>230790</v>
      </c>
      <c r="R292" s="3">
        <v>88790</v>
      </c>
      <c r="S292" t="s">
        <v>47</v>
      </c>
      <c r="T292" t="s">
        <v>48</v>
      </c>
      <c r="U292" t="s">
        <v>49</v>
      </c>
      <c r="V292" s="5">
        <v>0.38472204168291518</v>
      </c>
    </row>
    <row r="293" spans="1:22" x14ac:dyDescent="0.35">
      <c r="A293" t="s">
        <v>760</v>
      </c>
      <c r="B293" s="2">
        <v>45868</v>
      </c>
      <c r="C293" t="s">
        <v>261</v>
      </c>
      <c r="D293" t="s">
        <v>155</v>
      </c>
      <c r="E293" t="s">
        <v>61</v>
      </c>
      <c r="F293" t="s">
        <v>195</v>
      </c>
      <c r="G293" t="s">
        <v>195</v>
      </c>
      <c r="H293" t="s">
        <v>196</v>
      </c>
      <c r="I293" t="s">
        <v>55</v>
      </c>
      <c r="J293" t="s">
        <v>56</v>
      </c>
      <c r="K293">
        <v>3</v>
      </c>
      <c r="L293" s="3">
        <v>37500</v>
      </c>
      <c r="M293" s="3">
        <v>63900</v>
      </c>
      <c r="N293" s="3">
        <v>112500</v>
      </c>
      <c r="O293" s="4">
        <v>0</v>
      </c>
      <c r="P293" s="3">
        <v>0</v>
      </c>
      <c r="Q293" s="3">
        <v>112500</v>
      </c>
      <c r="R293" s="3">
        <v>48600</v>
      </c>
      <c r="S293" t="s">
        <v>67</v>
      </c>
      <c r="T293" t="s">
        <v>48</v>
      </c>
      <c r="U293" t="s">
        <v>49</v>
      </c>
      <c r="V293" s="5">
        <v>0.432</v>
      </c>
    </row>
    <row r="294" spans="1:22" x14ac:dyDescent="0.35">
      <c r="A294" t="s">
        <v>761</v>
      </c>
      <c r="B294" s="2">
        <v>45868</v>
      </c>
      <c r="C294" t="s">
        <v>480</v>
      </c>
      <c r="D294" t="s">
        <v>164</v>
      </c>
      <c r="E294" t="s">
        <v>41</v>
      </c>
      <c r="F294" t="s">
        <v>195</v>
      </c>
      <c r="G294" t="s">
        <v>195</v>
      </c>
      <c r="H294" t="s">
        <v>196</v>
      </c>
      <c r="I294" t="s">
        <v>90</v>
      </c>
      <c r="J294" t="s">
        <v>91</v>
      </c>
      <c r="K294">
        <v>1</v>
      </c>
      <c r="L294" s="3">
        <v>173800</v>
      </c>
      <c r="M294" s="3">
        <v>124400</v>
      </c>
      <c r="N294" s="3">
        <v>173800</v>
      </c>
      <c r="O294" s="4">
        <v>0.05</v>
      </c>
      <c r="P294" s="3">
        <v>8690</v>
      </c>
      <c r="Q294" s="3">
        <v>165110</v>
      </c>
      <c r="R294" s="3">
        <v>40710</v>
      </c>
      <c r="S294" t="s">
        <v>47</v>
      </c>
      <c r="T294" t="s">
        <v>48</v>
      </c>
      <c r="U294" t="s">
        <v>49</v>
      </c>
      <c r="V294" s="5">
        <v>0.2465628974622979</v>
      </c>
    </row>
    <row r="295" spans="1:22" x14ac:dyDescent="0.35">
      <c r="A295" t="s">
        <v>762</v>
      </c>
      <c r="B295" s="2">
        <v>45870</v>
      </c>
      <c r="C295" t="s">
        <v>306</v>
      </c>
      <c r="D295" t="s">
        <v>763</v>
      </c>
      <c r="E295" t="s">
        <v>61</v>
      </c>
      <c r="F295" t="s">
        <v>98</v>
      </c>
      <c r="G295" t="s">
        <v>98</v>
      </c>
      <c r="H295" t="s">
        <v>99</v>
      </c>
      <c r="I295" t="s">
        <v>45</v>
      </c>
      <c r="J295" t="s">
        <v>46</v>
      </c>
      <c r="K295">
        <v>3</v>
      </c>
      <c r="L295" s="3">
        <v>423400</v>
      </c>
      <c r="M295" s="3">
        <v>996000</v>
      </c>
      <c r="N295" s="3">
        <v>1270200</v>
      </c>
      <c r="O295" s="4">
        <v>0</v>
      </c>
      <c r="P295" s="3">
        <v>0</v>
      </c>
      <c r="Q295" s="3">
        <v>1270200</v>
      </c>
      <c r="R295" s="3">
        <v>274200</v>
      </c>
      <c r="S295" t="s">
        <v>57</v>
      </c>
      <c r="T295" t="s">
        <v>77</v>
      </c>
      <c r="U295" t="s">
        <v>49</v>
      </c>
      <c r="V295" s="5">
        <v>0.21587151629664619</v>
      </c>
    </row>
    <row r="296" spans="1:22" x14ac:dyDescent="0.35">
      <c r="A296" t="s">
        <v>764</v>
      </c>
      <c r="B296" s="2">
        <v>45870</v>
      </c>
      <c r="C296" t="s">
        <v>765</v>
      </c>
      <c r="D296" t="s">
        <v>766</v>
      </c>
      <c r="E296" t="s">
        <v>61</v>
      </c>
      <c r="F296" t="s">
        <v>62</v>
      </c>
      <c r="G296" t="s">
        <v>63</v>
      </c>
      <c r="H296" t="s">
        <v>64</v>
      </c>
      <c r="I296" t="s">
        <v>75</v>
      </c>
      <c r="J296" t="s">
        <v>56</v>
      </c>
      <c r="K296">
        <v>3</v>
      </c>
      <c r="L296" s="3">
        <v>62600</v>
      </c>
      <c r="M296" s="3">
        <v>126300</v>
      </c>
      <c r="N296" s="3">
        <v>187800</v>
      </c>
      <c r="O296" s="4">
        <v>0.05</v>
      </c>
      <c r="P296" s="3">
        <v>9390</v>
      </c>
      <c r="Q296" s="3">
        <v>178410</v>
      </c>
      <c r="R296" s="3">
        <v>52110</v>
      </c>
      <c r="S296" t="s">
        <v>67</v>
      </c>
      <c r="T296" t="s">
        <v>107</v>
      </c>
      <c r="U296" t="s">
        <v>49</v>
      </c>
      <c r="V296" s="5">
        <v>0.29208004035648227</v>
      </c>
    </row>
    <row r="297" spans="1:22" x14ac:dyDescent="0.35">
      <c r="A297" t="s">
        <v>767</v>
      </c>
      <c r="B297" s="2">
        <v>45870</v>
      </c>
      <c r="C297" t="s">
        <v>105</v>
      </c>
      <c r="D297" t="s">
        <v>768</v>
      </c>
      <c r="E297" t="s">
        <v>61</v>
      </c>
      <c r="F297" t="s">
        <v>168</v>
      </c>
      <c r="G297" t="s">
        <v>169</v>
      </c>
      <c r="H297" t="s">
        <v>74</v>
      </c>
      <c r="I297" t="s">
        <v>140</v>
      </c>
      <c r="J297" t="s">
        <v>46</v>
      </c>
      <c r="K297">
        <v>2</v>
      </c>
      <c r="L297" s="3">
        <v>272400</v>
      </c>
      <c r="M297" s="3">
        <v>438800</v>
      </c>
      <c r="N297" s="3">
        <v>544800</v>
      </c>
      <c r="O297" s="4">
        <v>0.02</v>
      </c>
      <c r="P297" s="3">
        <v>10896</v>
      </c>
      <c r="Q297" s="3">
        <v>533904</v>
      </c>
      <c r="R297" s="3">
        <v>95104</v>
      </c>
      <c r="S297" t="s">
        <v>67</v>
      </c>
      <c r="T297" t="s">
        <v>107</v>
      </c>
      <c r="U297" t="s">
        <v>49</v>
      </c>
      <c r="V297" s="5">
        <v>0.17812940154035181</v>
      </c>
    </row>
    <row r="298" spans="1:22" x14ac:dyDescent="0.35">
      <c r="A298" t="s">
        <v>769</v>
      </c>
      <c r="B298" s="2">
        <v>45871</v>
      </c>
      <c r="C298" t="s">
        <v>770</v>
      </c>
      <c r="D298" t="s">
        <v>714</v>
      </c>
      <c r="E298" t="s">
        <v>41</v>
      </c>
      <c r="F298" t="s">
        <v>73</v>
      </c>
      <c r="G298" t="s">
        <v>73</v>
      </c>
      <c r="H298" t="s">
        <v>74</v>
      </c>
      <c r="I298" t="s">
        <v>140</v>
      </c>
      <c r="J298" t="s">
        <v>46</v>
      </c>
      <c r="K298">
        <v>7</v>
      </c>
      <c r="L298" s="3">
        <v>262200</v>
      </c>
      <c r="M298" s="3">
        <v>1467900</v>
      </c>
      <c r="N298" s="3">
        <v>1835400</v>
      </c>
      <c r="O298" s="4">
        <v>0.05</v>
      </c>
      <c r="P298" s="3">
        <v>91770</v>
      </c>
      <c r="Q298" s="3">
        <v>1743630</v>
      </c>
      <c r="R298" s="3">
        <v>275730</v>
      </c>
      <c r="S298" t="s">
        <v>67</v>
      </c>
      <c r="T298" t="s">
        <v>107</v>
      </c>
      <c r="U298" t="s">
        <v>49</v>
      </c>
      <c r="V298" s="5">
        <v>0.15813561363362641</v>
      </c>
    </row>
    <row r="299" spans="1:22" x14ac:dyDescent="0.35">
      <c r="A299" t="s">
        <v>771</v>
      </c>
      <c r="B299" s="2">
        <v>45871</v>
      </c>
      <c r="C299" t="s">
        <v>59</v>
      </c>
      <c r="D299" t="s">
        <v>316</v>
      </c>
      <c r="E299" t="s">
        <v>41</v>
      </c>
      <c r="F299" t="s">
        <v>125</v>
      </c>
      <c r="G299" t="s">
        <v>126</v>
      </c>
      <c r="H299" t="s">
        <v>64</v>
      </c>
      <c r="I299" t="s">
        <v>131</v>
      </c>
      <c r="J299" t="s">
        <v>91</v>
      </c>
      <c r="K299">
        <v>6</v>
      </c>
      <c r="L299" s="3">
        <v>115100</v>
      </c>
      <c r="M299" s="3">
        <v>462600</v>
      </c>
      <c r="N299" s="3">
        <v>690600</v>
      </c>
      <c r="O299" s="4">
        <v>0</v>
      </c>
      <c r="P299" s="3">
        <v>0</v>
      </c>
      <c r="Q299" s="3">
        <v>690600</v>
      </c>
      <c r="R299" s="3">
        <v>228000</v>
      </c>
      <c r="S299" t="s">
        <v>57</v>
      </c>
      <c r="T299" t="s">
        <v>77</v>
      </c>
      <c r="U299" t="s">
        <v>49</v>
      </c>
      <c r="V299" s="5">
        <v>0.3301476976542137</v>
      </c>
    </row>
    <row r="300" spans="1:22" x14ac:dyDescent="0.35">
      <c r="A300" t="s">
        <v>772</v>
      </c>
      <c r="B300" s="2">
        <v>45871</v>
      </c>
      <c r="C300" t="s">
        <v>209</v>
      </c>
      <c r="D300" t="s">
        <v>773</v>
      </c>
      <c r="E300" t="s">
        <v>41</v>
      </c>
      <c r="F300" t="s">
        <v>62</v>
      </c>
      <c r="G300" t="s">
        <v>63</v>
      </c>
      <c r="H300" t="s">
        <v>64</v>
      </c>
      <c r="I300" t="s">
        <v>103</v>
      </c>
      <c r="J300" t="s">
        <v>46</v>
      </c>
      <c r="K300">
        <v>3</v>
      </c>
      <c r="L300" s="3">
        <v>675800</v>
      </c>
      <c r="M300" s="3">
        <v>1598700</v>
      </c>
      <c r="N300" s="3">
        <v>2027400</v>
      </c>
      <c r="O300" s="4">
        <v>0</v>
      </c>
      <c r="P300" s="3">
        <v>0</v>
      </c>
      <c r="Q300" s="3">
        <v>2027400</v>
      </c>
      <c r="R300" s="3">
        <v>428700</v>
      </c>
      <c r="S300" t="s">
        <v>47</v>
      </c>
      <c r="T300" t="s">
        <v>48</v>
      </c>
      <c r="U300" t="s">
        <v>49</v>
      </c>
      <c r="V300" s="5">
        <v>0.21145309263095591</v>
      </c>
    </row>
    <row r="301" spans="1:22" x14ac:dyDescent="0.35">
      <c r="A301" t="s">
        <v>774</v>
      </c>
      <c r="B301" s="2">
        <v>45871</v>
      </c>
      <c r="C301" t="s">
        <v>633</v>
      </c>
      <c r="D301" t="s">
        <v>556</v>
      </c>
      <c r="E301" t="s">
        <v>41</v>
      </c>
      <c r="F301" t="s">
        <v>111</v>
      </c>
      <c r="G301" t="s">
        <v>112</v>
      </c>
      <c r="H301" t="s">
        <v>74</v>
      </c>
      <c r="I301" t="s">
        <v>75</v>
      </c>
      <c r="J301" t="s">
        <v>56</v>
      </c>
      <c r="K301">
        <v>1</v>
      </c>
      <c r="L301" s="3">
        <v>65700</v>
      </c>
      <c r="M301" s="3">
        <v>42300</v>
      </c>
      <c r="N301" s="3">
        <v>65700</v>
      </c>
      <c r="O301" s="4">
        <v>0</v>
      </c>
      <c r="P301" s="3">
        <v>0</v>
      </c>
      <c r="Q301" s="3">
        <v>65700</v>
      </c>
      <c r="R301" s="3">
        <v>23400</v>
      </c>
      <c r="S301" t="s">
        <v>57</v>
      </c>
      <c r="T301" t="s">
        <v>77</v>
      </c>
      <c r="U301" t="s">
        <v>49</v>
      </c>
      <c r="V301" s="5">
        <v>0.35616438356164382</v>
      </c>
    </row>
    <row r="302" spans="1:22" x14ac:dyDescent="0.35">
      <c r="A302" t="s">
        <v>775</v>
      </c>
      <c r="B302" s="2">
        <v>45871</v>
      </c>
      <c r="C302" t="s">
        <v>776</v>
      </c>
      <c r="D302" t="s">
        <v>773</v>
      </c>
      <c r="E302" t="s">
        <v>41</v>
      </c>
      <c r="F302" t="s">
        <v>53</v>
      </c>
      <c r="G302" t="s">
        <v>54</v>
      </c>
      <c r="H302" t="s">
        <v>44</v>
      </c>
      <c r="I302" t="s">
        <v>55</v>
      </c>
      <c r="J302" t="s">
        <v>56</v>
      </c>
      <c r="K302">
        <v>6</v>
      </c>
      <c r="L302" s="3">
        <v>36200</v>
      </c>
      <c r="M302" s="3">
        <v>121800</v>
      </c>
      <c r="N302" s="3">
        <v>217200</v>
      </c>
      <c r="O302" s="4">
        <v>0.05</v>
      </c>
      <c r="P302" s="3">
        <v>10860</v>
      </c>
      <c r="Q302" s="3">
        <v>206340</v>
      </c>
      <c r="R302" s="3">
        <v>84540</v>
      </c>
      <c r="S302" t="s">
        <v>121</v>
      </c>
      <c r="T302" t="s">
        <v>77</v>
      </c>
      <c r="U302" t="s">
        <v>49</v>
      </c>
      <c r="V302" s="5">
        <v>0.4097121256179122</v>
      </c>
    </row>
    <row r="303" spans="1:22" x14ac:dyDescent="0.35">
      <c r="A303" t="s">
        <v>777</v>
      </c>
      <c r="B303" s="2">
        <v>45873</v>
      </c>
      <c r="C303" t="s">
        <v>423</v>
      </c>
      <c r="D303" t="s">
        <v>778</v>
      </c>
      <c r="E303" t="s">
        <v>41</v>
      </c>
      <c r="F303" t="s">
        <v>62</v>
      </c>
      <c r="G303" t="s">
        <v>63</v>
      </c>
      <c r="H303" t="s">
        <v>64</v>
      </c>
      <c r="I303" t="s">
        <v>113</v>
      </c>
      <c r="J303" t="s">
        <v>66</v>
      </c>
      <c r="K303">
        <v>8</v>
      </c>
      <c r="L303" s="3">
        <v>215000</v>
      </c>
      <c r="M303" s="3">
        <v>1228800</v>
      </c>
      <c r="N303" s="3">
        <v>1720000</v>
      </c>
      <c r="O303" s="4">
        <v>0.05</v>
      </c>
      <c r="P303" s="3">
        <v>86000</v>
      </c>
      <c r="Q303" s="3">
        <v>1634000</v>
      </c>
      <c r="R303" s="3">
        <v>405200</v>
      </c>
      <c r="S303" t="s">
        <v>67</v>
      </c>
      <c r="T303" t="s">
        <v>77</v>
      </c>
      <c r="U303" t="s">
        <v>49</v>
      </c>
      <c r="V303" s="5">
        <v>0.24798041615667071</v>
      </c>
    </row>
    <row r="304" spans="1:22" x14ac:dyDescent="0.35">
      <c r="A304" t="s">
        <v>779</v>
      </c>
      <c r="B304" s="2">
        <v>45873</v>
      </c>
      <c r="C304" t="s">
        <v>384</v>
      </c>
      <c r="D304" t="s">
        <v>556</v>
      </c>
      <c r="E304" t="s">
        <v>61</v>
      </c>
      <c r="F304" t="s">
        <v>62</v>
      </c>
      <c r="G304" t="s">
        <v>63</v>
      </c>
      <c r="H304" t="s">
        <v>64</v>
      </c>
      <c r="I304" t="s">
        <v>65</v>
      </c>
      <c r="J304" t="s">
        <v>66</v>
      </c>
      <c r="K304">
        <v>3</v>
      </c>
      <c r="L304" s="3">
        <v>148900</v>
      </c>
      <c r="M304" s="3">
        <v>342000</v>
      </c>
      <c r="N304" s="3">
        <v>446700</v>
      </c>
      <c r="O304" s="4">
        <v>0.08</v>
      </c>
      <c r="P304" s="3">
        <v>35736</v>
      </c>
      <c r="Q304" s="3">
        <v>410964</v>
      </c>
      <c r="R304" s="3">
        <v>68964</v>
      </c>
      <c r="S304" t="s">
        <v>121</v>
      </c>
      <c r="T304" t="s">
        <v>77</v>
      </c>
      <c r="U304" t="s">
        <v>49</v>
      </c>
      <c r="V304" s="5">
        <v>0.1678103191520425</v>
      </c>
    </row>
    <row r="305" spans="1:22" x14ac:dyDescent="0.35">
      <c r="A305" t="s">
        <v>780</v>
      </c>
      <c r="B305" s="2">
        <v>45875</v>
      </c>
      <c r="C305" t="s">
        <v>781</v>
      </c>
      <c r="D305" t="s">
        <v>743</v>
      </c>
      <c r="E305" t="s">
        <v>61</v>
      </c>
      <c r="F305" t="s">
        <v>195</v>
      </c>
      <c r="G305" t="s">
        <v>195</v>
      </c>
      <c r="H305" t="s">
        <v>196</v>
      </c>
      <c r="I305" t="s">
        <v>103</v>
      </c>
      <c r="J305" t="s">
        <v>46</v>
      </c>
      <c r="K305">
        <v>5</v>
      </c>
      <c r="L305" s="3">
        <v>607800</v>
      </c>
      <c r="M305" s="3">
        <v>2561000</v>
      </c>
      <c r="N305" s="3">
        <v>3039000</v>
      </c>
      <c r="O305" s="4">
        <v>0.1</v>
      </c>
      <c r="P305" s="3">
        <v>303900</v>
      </c>
      <c r="Q305" s="3">
        <v>2735100</v>
      </c>
      <c r="R305" s="3">
        <v>174100</v>
      </c>
      <c r="S305" t="s">
        <v>67</v>
      </c>
      <c r="T305" t="s">
        <v>77</v>
      </c>
      <c r="U305" t="s">
        <v>49</v>
      </c>
      <c r="V305" s="5">
        <v>6.3653979744799097E-2</v>
      </c>
    </row>
    <row r="306" spans="1:22" x14ac:dyDescent="0.35">
      <c r="A306" t="s">
        <v>782</v>
      </c>
      <c r="B306" s="2">
        <v>45876</v>
      </c>
      <c r="C306" t="s">
        <v>433</v>
      </c>
      <c r="D306" t="s">
        <v>783</v>
      </c>
      <c r="E306" t="s">
        <v>61</v>
      </c>
      <c r="F306" t="s">
        <v>62</v>
      </c>
      <c r="G306" t="s">
        <v>63</v>
      </c>
      <c r="H306" t="s">
        <v>64</v>
      </c>
      <c r="I306" t="s">
        <v>45</v>
      </c>
      <c r="J306" t="s">
        <v>46</v>
      </c>
      <c r="K306">
        <v>2</v>
      </c>
      <c r="L306" s="3">
        <v>394000</v>
      </c>
      <c r="M306" s="3">
        <v>664800</v>
      </c>
      <c r="N306" s="3">
        <v>788000</v>
      </c>
      <c r="O306" s="4">
        <v>0.05</v>
      </c>
      <c r="P306" s="3">
        <v>39400</v>
      </c>
      <c r="Q306" s="3">
        <v>748600</v>
      </c>
      <c r="R306" s="3">
        <v>83800</v>
      </c>
      <c r="S306" t="s">
        <v>47</v>
      </c>
      <c r="T306" t="s">
        <v>48</v>
      </c>
      <c r="U306" t="s">
        <v>49</v>
      </c>
      <c r="V306" s="5">
        <v>0.11194229227892059</v>
      </c>
    </row>
    <row r="307" spans="1:22" x14ac:dyDescent="0.35">
      <c r="A307" t="s">
        <v>784</v>
      </c>
      <c r="B307" s="2">
        <v>45877</v>
      </c>
      <c r="C307" t="s">
        <v>785</v>
      </c>
      <c r="D307" t="s">
        <v>456</v>
      </c>
      <c r="E307" t="s">
        <v>41</v>
      </c>
      <c r="F307" t="s">
        <v>195</v>
      </c>
      <c r="G307" t="s">
        <v>195</v>
      </c>
      <c r="H307" t="s">
        <v>196</v>
      </c>
      <c r="I307" t="s">
        <v>131</v>
      </c>
      <c r="J307" t="s">
        <v>91</v>
      </c>
      <c r="K307">
        <v>3</v>
      </c>
      <c r="L307" s="3">
        <v>123000</v>
      </c>
      <c r="M307" s="3">
        <v>234600</v>
      </c>
      <c r="N307" s="3">
        <v>369000</v>
      </c>
      <c r="O307" s="4">
        <v>0</v>
      </c>
      <c r="P307" s="3">
        <v>0</v>
      </c>
      <c r="Q307" s="3">
        <v>369000</v>
      </c>
      <c r="R307" s="3">
        <v>134400</v>
      </c>
      <c r="S307" t="s">
        <v>67</v>
      </c>
      <c r="T307" t="s">
        <v>48</v>
      </c>
      <c r="U307" t="s">
        <v>49</v>
      </c>
      <c r="V307" s="5">
        <v>0.36422764227642279</v>
      </c>
    </row>
    <row r="308" spans="1:22" x14ac:dyDescent="0.35">
      <c r="A308" t="s">
        <v>786</v>
      </c>
      <c r="B308" s="2">
        <v>45881</v>
      </c>
      <c r="C308" t="s">
        <v>571</v>
      </c>
      <c r="D308" t="s">
        <v>787</v>
      </c>
      <c r="E308" t="s">
        <v>41</v>
      </c>
      <c r="F308" t="s">
        <v>72</v>
      </c>
      <c r="G308" t="s">
        <v>73</v>
      </c>
      <c r="H308" t="s">
        <v>74</v>
      </c>
      <c r="I308" t="s">
        <v>55</v>
      </c>
      <c r="J308" t="s">
        <v>56</v>
      </c>
      <c r="K308">
        <v>3</v>
      </c>
      <c r="L308" s="3">
        <v>32500</v>
      </c>
      <c r="M308" s="3">
        <v>60600</v>
      </c>
      <c r="N308" s="3">
        <v>97500</v>
      </c>
      <c r="O308" s="4">
        <v>0</v>
      </c>
      <c r="P308" s="3">
        <v>0</v>
      </c>
      <c r="Q308" s="3">
        <v>97500</v>
      </c>
      <c r="R308" s="3">
        <v>36900</v>
      </c>
      <c r="S308" t="s">
        <v>67</v>
      </c>
      <c r="T308" t="s">
        <v>107</v>
      </c>
      <c r="U308" t="s">
        <v>49</v>
      </c>
      <c r="V308" s="5">
        <v>0.37846153846153852</v>
      </c>
    </row>
    <row r="309" spans="1:22" x14ac:dyDescent="0.35">
      <c r="A309" t="s">
        <v>788</v>
      </c>
      <c r="B309" s="2">
        <v>45882</v>
      </c>
      <c r="C309" t="s">
        <v>88</v>
      </c>
      <c r="D309" t="s">
        <v>789</v>
      </c>
      <c r="E309" t="s">
        <v>61</v>
      </c>
      <c r="F309" t="s">
        <v>81</v>
      </c>
      <c r="G309" t="s">
        <v>82</v>
      </c>
      <c r="H309" t="s">
        <v>64</v>
      </c>
      <c r="I309" t="s">
        <v>45</v>
      </c>
      <c r="J309" t="s">
        <v>46</v>
      </c>
      <c r="K309">
        <v>1</v>
      </c>
      <c r="L309" s="3">
        <v>441400</v>
      </c>
      <c r="M309" s="3">
        <v>322900</v>
      </c>
      <c r="N309" s="3">
        <v>441400</v>
      </c>
      <c r="O309" s="4">
        <v>0.08</v>
      </c>
      <c r="P309" s="3">
        <v>35312</v>
      </c>
      <c r="Q309" s="3">
        <v>406088</v>
      </c>
      <c r="R309" s="3">
        <v>83188</v>
      </c>
      <c r="S309" t="s">
        <v>57</v>
      </c>
      <c r="T309" t="s">
        <v>48</v>
      </c>
      <c r="U309" t="s">
        <v>49</v>
      </c>
      <c r="V309" s="5">
        <v>0.20485215027284731</v>
      </c>
    </row>
    <row r="310" spans="1:22" x14ac:dyDescent="0.35">
      <c r="A310" t="s">
        <v>790</v>
      </c>
      <c r="B310" s="2">
        <v>45883</v>
      </c>
      <c r="C310" t="s">
        <v>371</v>
      </c>
      <c r="D310" t="s">
        <v>686</v>
      </c>
      <c r="E310" t="s">
        <v>61</v>
      </c>
      <c r="F310" t="s">
        <v>42</v>
      </c>
      <c r="G310" t="s">
        <v>43</v>
      </c>
      <c r="H310" t="s">
        <v>44</v>
      </c>
      <c r="I310" t="s">
        <v>131</v>
      </c>
      <c r="J310" t="s">
        <v>91</v>
      </c>
      <c r="K310">
        <v>6</v>
      </c>
      <c r="L310" s="3">
        <v>112300</v>
      </c>
      <c r="M310" s="3">
        <v>450000</v>
      </c>
      <c r="N310" s="3">
        <v>673800</v>
      </c>
      <c r="O310" s="4">
        <v>0.05</v>
      </c>
      <c r="P310" s="3">
        <v>33690</v>
      </c>
      <c r="Q310" s="3">
        <v>640110</v>
      </c>
      <c r="R310" s="3">
        <v>190110</v>
      </c>
      <c r="S310" t="s">
        <v>76</v>
      </c>
      <c r="T310" t="s">
        <v>107</v>
      </c>
      <c r="U310" t="s">
        <v>49</v>
      </c>
      <c r="V310" s="5">
        <v>0.29699582884191777</v>
      </c>
    </row>
    <row r="311" spans="1:22" x14ac:dyDescent="0.35">
      <c r="A311" t="s">
        <v>791</v>
      </c>
      <c r="B311" s="2">
        <v>45883</v>
      </c>
      <c r="C311" t="s">
        <v>733</v>
      </c>
      <c r="D311" t="s">
        <v>792</v>
      </c>
      <c r="E311" t="s">
        <v>61</v>
      </c>
      <c r="F311" t="s">
        <v>42</v>
      </c>
      <c r="G311" t="s">
        <v>43</v>
      </c>
      <c r="H311" t="s">
        <v>44</v>
      </c>
      <c r="I311" t="s">
        <v>90</v>
      </c>
      <c r="J311" t="s">
        <v>91</v>
      </c>
      <c r="K311">
        <v>8</v>
      </c>
      <c r="L311" s="3">
        <v>178400</v>
      </c>
      <c r="M311" s="3">
        <v>1032000</v>
      </c>
      <c r="N311" s="3">
        <v>1427200</v>
      </c>
      <c r="O311" s="4">
        <v>0</v>
      </c>
      <c r="P311" s="3">
        <v>0</v>
      </c>
      <c r="Q311" s="3">
        <v>1427200</v>
      </c>
      <c r="R311" s="3">
        <v>395200</v>
      </c>
      <c r="S311" t="s">
        <v>121</v>
      </c>
      <c r="T311" t="s">
        <v>48</v>
      </c>
      <c r="U311" t="s">
        <v>49</v>
      </c>
      <c r="V311" s="5">
        <v>0.27690582959641258</v>
      </c>
    </row>
    <row r="312" spans="1:22" x14ac:dyDescent="0.35">
      <c r="A312" t="s">
        <v>793</v>
      </c>
      <c r="B312" s="2">
        <v>45884</v>
      </c>
      <c r="C312" t="s">
        <v>794</v>
      </c>
      <c r="D312" t="s">
        <v>783</v>
      </c>
      <c r="E312" t="s">
        <v>61</v>
      </c>
      <c r="F312" t="s">
        <v>53</v>
      </c>
      <c r="G312" t="s">
        <v>54</v>
      </c>
      <c r="H312" t="s">
        <v>44</v>
      </c>
      <c r="I312" t="s">
        <v>90</v>
      </c>
      <c r="J312" t="s">
        <v>91</v>
      </c>
      <c r="K312">
        <v>2</v>
      </c>
      <c r="L312" s="3">
        <v>190700</v>
      </c>
      <c r="M312" s="3">
        <v>259400</v>
      </c>
      <c r="N312" s="3">
        <v>381400</v>
      </c>
      <c r="O312" s="4">
        <v>0.1</v>
      </c>
      <c r="P312" s="3">
        <v>38140</v>
      </c>
      <c r="Q312" s="3">
        <v>343260</v>
      </c>
      <c r="R312" s="3">
        <v>83860</v>
      </c>
      <c r="S312" t="s">
        <v>76</v>
      </c>
      <c r="T312" t="s">
        <v>48</v>
      </c>
      <c r="U312" t="s">
        <v>49</v>
      </c>
      <c r="V312" s="5">
        <v>0.24430460875138379</v>
      </c>
    </row>
    <row r="313" spans="1:22" x14ac:dyDescent="0.35">
      <c r="A313" t="s">
        <v>795</v>
      </c>
      <c r="B313" s="2">
        <v>45884</v>
      </c>
      <c r="C313" t="s">
        <v>226</v>
      </c>
      <c r="D313" t="s">
        <v>670</v>
      </c>
      <c r="E313" t="s">
        <v>41</v>
      </c>
      <c r="F313" t="s">
        <v>72</v>
      </c>
      <c r="G313" t="s">
        <v>73</v>
      </c>
      <c r="H313" t="s">
        <v>74</v>
      </c>
      <c r="I313" t="s">
        <v>65</v>
      </c>
      <c r="J313" t="s">
        <v>66</v>
      </c>
      <c r="K313">
        <v>1</v>
      </c>
      <c r="L313" s="3">
        <v>149600</v>
      </c>
      <c r="M313" s="3">
        <v>110600</v>
      </c>
      <c r="N313" s="3">
        <v>149600</v>
      </c>
      <c r="O313" s="4">
        <v>0</v>
      </c>
      <c r="P313" s="3">
        <v>0</v>
      </c>
      <c r="Q313" s="3">
        <v>149600</v>
      </c>
      <c r="R313" s="3">
        <v>39000</v>
      </c>
      <c r="S313" t="s">
        <v>67</v>
      </c>
      <c r="T313" t="s">
        <v>48</v>
      </c>
      <c r="U313" t="s">
        <v>49</v>
      </c>
      <c r="V313" s="5">
        <v>0.26069518716577539</v>
      </c>
    </row>
    <row r="314" spans="1:22" x14ac:dyDescent="0.35">
      <c r="A314" t="s">
        <v>796</v>
      </c>
      <c r="B314" s="2">
        <v>45890</v>
      </c>
      <c r="C314" t="s">
        <v>794</v>
      </c>
      <c r="D314" t="s">
        <v>797</v>
      </c>
      <c r="E314" t="s">
        <v>61</v>
      </c>
      <c r="F314" t="s">
        <v>73</v>
      </c>
      <c r="G314" t="s">
        <v>73</v>
      </c>
      <c r="H314" t="s">
        <v>74</v>
      </c>
      <c r="I314" t="s">
        <v>83</v>
      </c>
      <c r="J314" t="s">
        <v>56</v>
      </c>
      <c r="K314">
        <v>3</v>
      </c>
      <c r="L314" s="3">
        <v>43300</v>
      </c>
      <c r="M314" s="3">
        <v>82200</v>
      </c>
      <c r="N314" s="3">
        <v>129900</v>
      </c>
      <c r="O314" s="4">
        <v>0</v>
      </c>
      <c r="P314" s="3">
        <v>0</v>
      </c>
      <c r="Q314" s="3">
        <v>129900</v>
      </c>
      <c r="R314" s="3">
        <v>47700</v>
      </c>
      <c r="S314" t="s">
        <v>67</v>
      </c>
      <c r="T314" t="s">
        <v>77</v>
      </c>
      <c r="U314" t="s">
        <v>49</v>
      </c>
      <c r="V314" s="5">
        <v>0.3672055427251732</v>
      </c>
    </row>
    <row r="315" spans="1:22" x14ac:dyDescent="0.35">
      <c r="A315" t="s">
        <v>798</v>
      </c>
      <c r="B315" s="2">
        <v>45890</v>
      </c>
      <c r="C315" t="s">
        <v>433</v>
      </c>
      <c r="D315" t="s">
        <v>799</v>
      </c>
      <c r="E315" t="s">
        <v>61</v>
      </c>
      <c r="F315" t="s">
        <v>62</v>
      </c>
      <c r="G315" t="s">
        <v>63</v>
      </c>
      <c r="H315" t="s">
        <v>64</v>
      </c>
      <c r="I315" t="s">
        <v>55</v>
      </c>
      <c r="J315" t="s">
        <v>56</v>
      </c>
      <c r="K315">
        <v>6</v>
      </c>
      <c r="L315" s="3">
        <v>32600</v>
      </c>
      <c r="M315" s="3">
        <v>121200</v>
      </c>
      <c r="N315" s="3">
        <v>195600</v>
      </c>
      <c r="O315" s="4">
        <v>0.05</v>
      </c>
      <c r="P315" s="3">
        <v>9780</v>
      </c>
      <c r="Q315" s="3">
        <v>185820</v>
      </c>
      <c r="R315" s="3">
        <v>64620</v>
      </c>
      <c r="S315" t="s">
        <v>47</v>
      </c>
      <c r="T315" t="s">
        <v>107</v>
      </c>
      <c r="U315" t="s">
        <v>49</v>
      </c>
      <c r="V315" s="5">
        <v>0.34775589279948338</v>
      </c>
    </row>
    <row r="316" spans="1:22" x14ac:dyDescent="0.35">
      <c r="A316" t="s">
        <v>800</v>
      </c>
      <c r="B316" s="2">
        <v>45892</v>
      </c>
      <c r="C316" t="s">
        <v>218</v>
      </c>
      <c r="D316" t="s">
        <v>801</v>
      </c>
      <c r="E316" t="s">
        <v>61</v>
      </c>
      <c r="F316" t="s">
        <v>195</v>
      </c>
      <c r="G316" t="s">
        <v>195</v>
      </c>
      <c r="H316" t="s">
        <v>196</v>
      </c>
      <c r="I316" t="s">
        <v>140</v>
      </c>
      <c r="J316" t="s">
        <v>46</v>
      </c>
      <c r="K316">
        <v>6</v>
      </c>
      <c r="L316" s="3">
        <v>297700</v>
      </c>
      <c r="M316" s="3">
        <v>1338000</v>
      </c>
      <c r="N316" s="3">
        <v>1786200</v>
      </c>
      <c r="O316" s="4">
        <v>0</v>
      </c>
      <c r="P316" s="3">
        <v>0</v>
      </c>
      <c r="Q316" s="3">
        <v>1786200</v>
      </c>
      <c r="R316" s="3">
        <v>448200</v>
      </c>
      <c r="S316" t="s">
        <v>47</v>
      </c>
      <c r="T316" t="s">
        <v>77</v>
      </c>
      <c r="U316" t="s">
        <v>49</v>
      </c>
      <c r="V316" s="5">
        <v>0.25092374874034262</v>
      </c>
    </row>
    <row r="317" spans="1:22" x14ac:dyDescent="0.35">
      <c r="A317" t="s">
        <v>802</v>
      </c>
      <c r="B317" s="2">
        <v>45893</v>
      </c>
      <c r="C317" t="s">
        <v>215</v>
      </c>
      <c r="D317" t="s">
        <v>428</v>
      </c>
      <c r="E317" t="s">
        <v>61</v>
      </c>
      <c r="F317" t="s">
        <v>62</v>
      </c>
      <c r="G317" t="s">
        <v>63</v>
      </c>
      <c r="H317" t="s">
        <v>64</v>
      </c>
      <c r="I317" t="s">
        <v>65</v>
      </c>
      <c r="J317" t="s">
        <v>66</v>
      </c>
      <c r="K317">
        <v>2</v>
      </c>
      <c r="L317" s="3">
        <v>151900</v>
      </c>
      <c r="M317" s="3">
        <v>218400</v>
      </c>
      <c r="N317" s="3">
        <v>303800</v>
      </c>
      <c r="O317" s="4">
        <v>0</v>
      </c>
      <c r="P317" s="3">
        <v>0</v>
      </c>
      <c r="Q317" s="3">
        <v>303800</v>
      </c>
      <c r="R317" s="3">
        <v>85400</v>
      </c>
      <c r="S317" t="s">
        <v>57</v>
      </c>
      <c r="T317" t="s">
        <v>48</v>
      </c>
      <c r="U317" t="s">
        <v>49</v>
      </c>
      <c r="V317" s="5">
        <v>0.28110599078341009</v>
      </c>
    </row>
    <row r="318" spans="1:22" x14ac:dyDescent="0.35">
      <c r="A318" t="s">
        <v>803</v>
      </c>
      <c r="B318" s="2">
        <v>45893</v>
      </c>
      <c r="C318" t="s">
        <v>163</v>
      </c>
      <c r="D318" t="s">
        <v>682</v>
      </c>
      <c r="E318" t="s">
        <v>41</v>
      </c>
      <c r="F318" t="s">
        <v>42</v>
      </c>
      <c r="G318" t="s">
        <v>43</v>
      </c>
      <c r="H318" t="s">
        <v>44</v>
      </c>
      <c r="I318" t="s">
        <v>103</v>
      </c>
      <c r="J318" t="s">
        <v>46</v>
      </c>
      <c r="K318">
        <v>2</v>
      </c>
      <c r="L318" s="3">
        <v>647500</v>
      </c>
      <c r="M318" s="3">
        <v>1067600</v>
      </c>
      <c r="N318" s="3">
        <v>1295000</v>
      </c>
      <c r="O318" s="4">
        <v>0</v>
      </c>
      <c r="P318" s="3">
        <v>0</v>
      </c>
      <c r="Q318" s="3">
        <v>1295000</v>
      </c>
      <c r="R318" s="3">
        <v>227400</v>
      </c>
      <c r="S318" t="s">
        <v>67</v>
      </c>
      <c r="T318" t="s">
        <v>77</v>
      </c>
      <c r="U318" t="s">
        <v>49</v>
      </c>
      <c r="V318" s="5">
        <v>0.17559845559845561</v>
      </c>
    </row>
    <row r="319" spans="1:22" x14ac:dyDescent="0.35">
      <c r="A319" t="s">
        <v>804</v>
      </c>
      <c r="B319" s="2">
        <v>45893</v>
      </c>
      <c r="C319" t="s">
        <v>805</v>
      </c>
      <c r="D319" t="s">
        <v>625</v>
      </c>
      <c r="E319" t="s">
        <v>41</v>
      </c>
      <c r="F319" t="s">
        <v>98</v>
      </c>
      <c r="G319" t="s">
        <v>98</v>
      </c>
      <c r="H319" t="s">
        <v>99</v>
      </c>
      <c r="I319" t="s">
        <v>90</v>
      </c>
      <c r="J319" t="s">
        <v>91</v>
      </c>
      <c r="K319">
        <v>6</v>
      </c>
      <c r="L319" s="3">
        <v>177500</v>
      </c>
      <c r="M319" s="3">
        <v>741000</v>
      </c>
      <c r="N319" s="3">
        <v>1065000</v>
      </c>
      <c r="O319" s="4">
        <v>0.08</v>
      </c>
      <c r="P319" s="3">
        <v>85200</v>
      </c>
      <c r="Q319" s="3">
        <v>979800</v>
      </c>
      <c r="R319" s="3">
        <v>238800</v>
      </c>
      <c r="S319" t="s">
        <v>47</v>
      </c>
      <c r="T319" t="s">
        <v>48</v>
      </c>
      <c r="U319" t="s">
        <v>49</v>
      </c>
      <c r="V319" s="5">
        <v>0.24372320881812609</v>
      </c>
    </row>
    <row r="320" spans="1:22" x14ac:dyDescent="0.35">
      <c r="A320" t="s">
        <v>806</v>
      </c>
      <c r="B320" s="2">
        <v>45894</v>
      </c>
      <c r="C320" t="s">
        <v>420</v>
      </c>
      <c r="D320" t="s">
        <v>478</v>
      </c>
      <c r="E320" t="s">
        <v>41</v>
      </c>
      <c r="F320" t="s">
        <v>195</v>
      </c>
      <c r="G320" t="s">
        <v>195</v>
      </c>
      <c r="H320" t="s">
        <v>196</v>
      </c>
      <c r="I320" t="s">
        <v>90</v>
      </c>
      <c r="J320" t="s">
        <v>91</v>
      </c>
      <c r="K320">
        <v>6</v>
      </c>
      <c r="L320" s="3">
        <v>170200</v>
      </c>
      <c r="M320" s="3">
        <v>723600</v>
      </c>
      <c r="N320" s="3">
        <v>1021200</v>
      </c>
      <c r="O320" s="4">
        <v>0</v>
      </c>
      <c r="P320" s="3">
        <v>0</v>
      </c>
      <c r="Q320" s="3">
        <v>1021200</v>
      </c>
      <c r="R320" s="3">
        <v>297600</v>
      </c>
      <c r="S320" t="s">
        <v>121</v>
      </c>
      <c r="T320" t="s">
        <v>48</v>
      </c>
      <c r="U320" t="s">
        <v>49</v>
      </c>
      <c r="V320" s="5">
        <v>0.29142185663924802</v>
      </c>
    </row>
    <row r="321" spans="1:22" x14ac:dyDescent="0.35">
      <c r="A321" t="s">
        <v>807</v>
      </c>
      <c r="B321" s="2">
        <v>45896</v>
      </c>
      <c r="C321" t="s">
        <v>464</v>
      </c>
      <c r="D321" t="s">
        <v>146</v>
      </c>
      <c r="E321" t="s">
        <v>41</v>
      </c>
      <c r="F321" t="s">
        <v>168</v>
      </c>
      <c r="G321" t="s">
        <v>169</v>
      </c>
      <c r="H321" t="s">
        <v>74</v>
      </c>
      <c r="I321" t="s">
        <v>103</v>
      </c>
      <c r="J321" t="s">
        <v>46</v>
      </c>
      <c r="K321">
        <v>3</v>
      </c>
      <c r="L321" s="3">
        <v>689800</v>
      </c>
      <c r="M321" s="3">
        <v>1504200</v>
      </c>
      <c r="N321" s="3">
        <v>2069400</v>
      </c>
      <c r="O321" s="4">
        <v>0</v>
      </c>
      <c r="P321" s="3">
        <v>0</v>
      </c>
      <c r="Q321" s="3">
        <v>2069400</v>
      </c>
      <c r="R321" s="3">
        <v>565200</v>
      </c>
      <c r="S321" t="s">
        <v>67</v>
      </c>
      <c r="T321" t="s">
        <v>48</v>
      </c>
      <c r="U321" t="s">
        <v>49</v>
      </c>
      <c r="V321" s="5">
        <v>0.27312264424470861</v>
      </c>
    </row>
    <row r="322" spans="1:22" x14ac:dyDescent="0.35">
      <c r="A322" t="s">
        <v>808</v>
      </c>
      <c r="B322" s="2">
        <v>45896</v>
      </c>
      <c r="C322" t="s">
        <v>809</v>
      </c>
      <c r="D322" t="s">
        <v>541</v>
      </c>
      <c r="E322" t="s">
        <v>61</v>
      </c>
      <c r="F322" t="s">
        <v>168</v>
      </c>
      <c r="G322" t="s">
        <v>169</v>
      </c>
      <c r="H322" t="s">
        <v>74</v>
      </c>
      <c r="I322" t="s">
        <v>140</v>
      </c>
      <c r="J322" t="s">
        <v>46</v>
      </c>
      <c r="K322">
        <v>7</v>
      </c>
      <c r="L322" s="3">
        <v>269100</v>
      </c>
      <c r="M322" s="3">
        <v>1557500</v>
      </c>
      <c r="N322" s="3">
        <v>1883700</v>
      </c>
      <c r="O322" s="4">
        <v>0</v>
      </c>
      <c r="P322" s="3">
        <v>0</v>
      </c>
      <c r="Q322" s="3">
        <v>1883700</v>
      </c>
      <c r="R322" s="3">
        <v>326200</v>
      </c>
      <c r="S322" t="s">
        <v>67</v>
      </c>
      <c r="T322" t="s">
        <v>107</v>
      </c>
      <c r="U322" t="s">
        <v>49</v>
      </c>
      <c r="V322" s="5">
        <v>0.1731698253437384</v>
      </c>
    </row>
    <row r="323" spans="1:22" x14ac:dyDescent="0.35">
      <c r="A323" t="s">
        <v>810</v>
      </c>
      <c r="B323" s="2">
        <v>45898</v>
      </c>
      <c r="C323" t="s">
        <v>329</v>
      </c>
      <c r="D323" t="s">
        <v>588</v>
      </c>
      <c r="E323" t="s">
        <v>61</v>
      </c>
      <c r="F323" t="s">
        <v>200</v>
      </c>
      <c r="G323" t="s">
        <v>201</v>
      </c>
      <c r="H323" t="s">
        <v>99</v>
      </c>
      <c r="I323" t="s">
        <v>55</v>
      </c>
      <c r="J323" t="s">
        <v>56</v>
      </c>
      <c r="K323">
        <v>2</v>
      </c>
      <c r="L323" s="3">
        <v>36500</v>
      </c>
      <c r="M323" s="3">
        <v>41600</v>
      </c>
      <c r="N323" s="3">
        <v>73000</v>
      </c>
      <c r="O323" s="4">
        <v>0</v>
      </c>
      <c r="P323" s="3">
        <v>0</v>
      </c>
      <c r="Q323" s="3">
        <v>73000</v>
      </c>
      <c r="R323" s="3">
        <v>31400</v>
      </c>
      <c r="S323" t="s">
        <v>67</v>
      </c>
      <c r="T323" t="s">
        <v>48</v>
      </c>
      <c r="U323" t="s">
        <v>49</v>
      </c>
      <c r="V323" s="5">
        <v>0.43013698630136987</v>
      </c>
    </row>
    <row r="324" spans="1:22" x14ac:dyDescent="0.35">
      <c r="A324" t="s">
        <v>811</v>
      </c>
      <c r="B324" s="2">
        <v>45898</v>
      </c>
      <c r="C324" t="s">
        <v>415</v>
      </c>
      <c r="D324" t="s">
        <v>812</v>
      </c>
      <c r="E324" t="s">
        <v>41</v>
      </c>
      <c r="F324" t="s">
        <v>72</v>
      </c>
      <c r="G324" t="s">
        <v>73</v>
      </c>
      <c r="H324" t="s">
        <v>74</v>
      </c>
      <c r="I324" t="s">
        <v>83</v>
      </c>
      <c r="J324" t="s">
        <v>56</v>
      </c>
      <c r="K324">
        <v>5</v>
      </c>
      <c r="L324" s="3">
        <v>45900</v>
      </c>
      <c r="M324" s="3">
        <v>138500</v>
      </c>
      <c r="N324" s="3">
        <v>229500</v>
      </c>
      <c r="O324" s="4">
        <v>0.1</v>
      </c>
      <c r="P324" s="3">
        <v>22950</v>
      </c>
      <c r="Q324" s="3">
        <v>206550</v>
      </c>
      <c r="R324" s="3">
        <v>68050</v>
      </c>
      <c r="S324" t="s">
        <v>57</v>
      </c>
      <c r="T324" t="s">
        <v>48</v>
      </c>
      <c r="U324" t="s">
        <v>49</v>
      </c>
      <c r="V324" s="5">
        <v>0.32946017913338183</v>
      </c>
    </row>
    <row r="325" spans="1:22" x14ac:dyDescent="0.35">
      <c r="A325" t="s">
        <v>813</v>
      </c>
      <c r="B325" s="2">
        <v>45899</v>
      </c>
      <c r="C325" t="s">
        <v>612</v>
      </c>
      <c r="D325" t="s">
        <v>164</v>
      </c>
      <c r="E325" t="s">
        <v>61</v>
      </c>
      <c r="F325" t="s">
        <v>81</v>
      </c>
      <c r="G325" t="s">
        <v>82</v>
      </c>
      <c r="H325" t="s">
        <v>64</v>
      </c>
      <c r="I325" t="s">
        <v>75</v>
      </c>
      <c r="J325" t="s">
        <v>56</v>
      </c>
      <c r="K325">
        <v>3</v>
      </c>
      <c r="L325" s="3">
        <v>62400</v>
      </c>
      <c r="M325" s="3">
        <v>124200</v>
      </c>
      <c r="N325" s="3">
        <v>187200</v>
      </c>
      <c r="O325" s="4">
        <v>0</v>
      </c>
      <c r="P325" s="3">
        <v>0</v>
      </c>
      <c r="Q325" s="3">
        <v>187200</v>
      </c>
      <c r="R325" s="3">
        <v>63000</v>
      </c>
      <c r="S325" t="s">
        <v>121</v>
      </c>
      <c r="T325" t="s">
        <v>77</v>
      </c>
      <c r="U325" t="s">
        <v>49</v>
      </c>
      <c r="V325" s="5">
        <v>0.33653846153846162</v>
      </c>
    </row>
    <row r="326" spans="1:22" x14ac:dyDescent="0.35">
      <c r="A326" t="s">
        <v>814</v>
      </c>
      <c r="B326" s="2">
        <v>45899</v>
      </c>
      <c r="C326" t="s">
        <v>259</v>
      </c>
      <c r="D326" t="s">
        <v>815</v>
      </c>
      <c r="E326" t="s">
        <v>61</v>
      </c>
      <c r="F326" t="s">
        <v>195</v>
      </c>
      <c r="G326" t="s">
        <v>195</v>
      </c>
      <c r="H326" t="s">
        <v>196</v>
      </c>
      <c r="I326" t="s">
        <v>113</v>
      </c>
      <c r="J326" t="s">
        <v>66</v>
      </c>
      <c r="K326">
        <v>4</v>
      </c>
      <c r="L326" s="3">
        <v>199200</v>
      </c>
      <c r="M326" s="3">
        <v>612000</v>
      </c>
      <c r="N326" s="3">
        <v>796800</v>
      </c>
      <c r="O326" s="4">
        <v>0.05</v>
      </c>
      <c r="P326" s="3">
        <v>39840</v>
      </c>
      <c r="Q326" s="3">
        <v>756960</v>
      </c>
      <c r="R326" s="3">
        <v>144960</v>
      </c>
      <c r="S326" t="s">
        <v>121</v>
      </c>
      <c r="T326" t="s">
        <v>48</v>
      </c>
      <c r="U326" t="s">
        <v>49</v>
      </c>
      <c r="V326" s="5">
        <v>0.19150285351934049</v>
      </c>
    </row>
    <row r="327" spans="1:22" x14ac:dyDescent="0.35">
      <c r="A327" t="s">
        <v>816</v>
      </c>
      <c r="B327" s="2">
        <v>45899</v>
      </c>
      <c r="C327" t="s">
        <v>688</v>
      </c>
      <c r="D327" t="s">
        <v>773</v>
      </c>
      <c r="E327" t="s">
        <v>41</v>
      </c>
      <c r="F327" t="s">
        <v>98</v>
      </c>
      <c r="G327" t="s">
        <v>98</v>
      </c>
      <c r="H327" t="s">
        <v>99</v>
      </c>
      <c r="I327" t="s">
        <v>75</v>
      </c>
      <c r="J327" t="s">
        <v>56</v>
      </c>
      <c r="K327">
        <v>3</v>
      </c>
      <c r="L327" s="3">
        <v>68700</v>
      </c>
      <c r="M327" s="3">
        <v>127800</v>
      </c>
      <c r="N327" s="3">
        <v>206100</v>
      </c>
      <c r="O327" s="4">
        <v>0.05</v>
      </c>
      <c r="P327" s="3">
        <v>10305</v>
      </c>
      <c r="Q327" s="3">
        <v>195795</v>
      </c>
      <c r="R327" s="3">
        <v>67995</v>
      </c>
      <c r="S327" t="s">
        <v>76</v>
      </c>
      <c r="T327" t="s">
        <v>48</v>
      </c>
      <c r="U327" t="s">
        <v>49</v>
      </c>
      <c r="V327" s="5">
        <v>0.34727648816364048</v>
      </c>
    </row>
    <row r="328" spans="1:22" x14ac:dyDescent="0.35">
      <c r="A328" t="s">
        <v>817</v>
      </c>
      <c r="B328" s="2">
        <v>45899</v>
      </c>
      <c r="C328" t="s">
        <v>818</v>
      </c>
      <c r="D328" t="s">
        <v>355</v>
      </c>
      <c r="E328" t="s">
        <v>41</v>
      </c>
      <c r="F328" t="s">
        <v>62</v>
      </c>
      <c r="G328" t="s">
        <v>63</v>
      </c>
      <c r="H328" t="s">
        <v>64</v>
      </c>
      <c r="I328" t="s">
        <v>75</v>
      </c>
      <c r="J328" t="s">
        <v>56</v>
      </c>
      <c r="K328">
        <v>6</v>
      </c>
      <c r="L328" s="3">
        <v>61000</v>
      </c>
      <c r="M328" s="3">
        <v>252600</v>
      </c>
      <c r="N328" s="3">
        <v>366000</v>
      </c>
      <c r="O328" s="4">
        <v>0.05</v>
      </c>
      <c r="P328" s="3">
        <v>18300</v>
      </c>
      <c r="Q328" s="3">
        <v>347700</v>
      </c>
      <c r="R328" s="3">
        <v>95100</v>
      </c>
      <c r="S328" t="s">
        <v>67</v>
      </c>
      <c r="T328" t="s">
        <v>77</v>
      </c>
      <c r="U328" t="s">
        <v>68</v>
      </c>
      <c r="V328" s="5">
        <v>0.27351164797239003</v>
      </c>
    </row>
    <row r="329" spans="1:22" x14ac:dyDescent="0.35">
      <c r="A329" t="s">
        <v>819</v>
      </c>
      <c r="B329" s="2">
        <v>45900</v>
      </c>
      <c r="C329" t="s">
        <v>166</v>
      </c>
      <c r="D329" t="s">
        <v>161</v>
      </c>
      <c r="E329" t="s">
        <v>61</v>
      </c>
      <c r="F329" t="s">
        <v>72</v>
      </c>
      <c r="G329" t="s">
        <v>73</v>
      </c>
      <c r="H329" t="s">
        <v>74</v>
      </c>
      <c r="I329" t="s">
        <v>45</v>
      </c>
      <c r="J329" t="s">
        <v>46</v>
      </c>
      <c r="K329">
        <v>4</v>
      </c>
      <c r="L329" s="3">
        <v>388800</v>
      </c>
      <c r="M329" s="3">
        <v>1385600</v>
      </c>
      <c r="N329" s="3">
        <v>1555200</v>
      </c>
      <c r="O329" s="4">
        <v>0</v>
      </c>
      <c r="P329" s="3">
        <v>0</v>
      </c>
      <c r="Q329" s="3">
        <v>1555200</v>
      </c>
      <c r="R329" s="3">
        <v>169600</v>
      </c>
      <c r="S329" t="s">
        <v>76</v>
      </c>
      <c r="T329" t="s">
        <v>48</v>
      </c>
      <c r="U329" t="s">
        <v>49</v>
      </c>
      <c r="V329" s="5">
        <v>0.10905349794238681</v>
      </c>
    </row>
    <row r="330" spans="1:22" x14ac:dyDescent="0.35">
      <c r="A330" t="s">
        <v>820</v>
      </c>
      <c r="B330" s="2">
        <v>45901</v>
      </c>
      <c r="C330" t="s">
        <v>669</v>
      </c>
      <c r="D330" t="s">
        <v>222</v>
      </c>
      <c r="E330" t="s">
        <v>41</v>
      </c>
      <c r="F330" t="s">
        <v>42</v>
      </c>
      <c r="G330" t="s">
        <v>43</v>
      </c>
      <c r="H330" t="s">
        <v>44</v>
      </c>
      <c r="I330" t="s">
        <v>103</v>
      </c>
      <c r="J330" t="s">
        <v>46</v>
      </c>
      <c r="K330">
        <v>5</v>
      </c>
      <c r="L330" s="3">
        <v>629400</v>
      </c>
      <c r="M330" s="3">
        <v>2504000</v>
      </c>
      <c r="N330" s="3">
        <v>3147000</v>
      </c>
      <c r="O330" s="4">
        <v>0.02</v>
      </c>
      <c r="P330" s="3">
        <v>62940</v>
      </c>
      <c r="Q330" s="3">
        <v>3084060</v>
      </c>
      <c r="R330" s="3">
        <v>580060</v>
      </c>
      <c r="S330" t="s">
        <v>47</v>
      </c>
      <c r="T330" t="s">
        <v>48</v>
      </c>
      <c r="U330" t="s">
        <v>49</v>
      </c>
      <c r="V330" s="5">
        <v>0.18808324092267981</v>
      </c>
    </row>
    <row r="331" spans="1:22" x14ac:dyDescent="0.35">
      <c r="A331" t="s">
        <v>821</v>
      </c>
      <c r="B331" s="2">
        <v>45902</v>
      </c>
      <c r="C331" t="s">
        <v>349</v>
      </c>
      <c r="D331" t="s">
        <v>797</v>
      </c>
      <c r="E331" t="s">
        <v>41</v>
      </c>
      <c r="F331" t="s">
        <v>72</v>
      </c>
      <c r="G331" t="s">
        <v>73</v>
      </c>
      <c r="H331" t="s">
        <v>74</v>
      </c>
      <c r="I331" t="s">
        <v>75</v>
      </c>
      <c r="J331" t="s">
        <v>56</v>
      </c>
      <c r="K331">
        <v>3</v>
      </c>
      <c r="L331" s="3">
        <v>60300</v>
      </c>
      <c r="M331" s="3">
        <v>122400</v>
      </c>
      <c r="N331" s="3">
        <v>180900</v>
      </c>
      <c r="O331" s="4">
        <v>0</v>
      </c>
      <c r="P331" s="3">
        <v>0</v>
      </c>
      <c r="Q331" s="3">
        <v>180900</v>
      </c>
      <c r="R331" s="3">
        <v>58500</v>
      </c>
      <c r="S331" t="s">
        <v>121</v>
      </c>
      <c r="T331" t="s">
        <v>107</v>
      </c>
      <c r="U331" t="s">
        <v>49</v>
      </c>
      <c r="V331" s="5">
        <v>0.32338308457711451</v>
      </c>
    </row>
    <row r="332" spans="1:22" x14ac:dyDescent="0.35">
      <c r="A332" t="s">
        <v>822</v>
      </c>
      <c r="B332" s="2">
        <v>45904</v>
      </c>
      <c r="C332" t="s">
        <v>410</v>
      </c>
      <c r="D332" t="s">
        <v>823</v>
      </c>
      <c r="E332" t="s">
        <v>41</v>
      </c>
      <c r="F332" t="s">
        <v>168</v>
      </c>
      <c r="G332" t="s">
        <v>169</v>
      </c>
      <c r="H332" t="s">
        <v>74</v>
      </c>
      <c r="I332" t="s">
        <v>75</v>
      </c>
      <c r="J332" t="s">
        <v>56</v>
      </c>
      <c r="K332">
        <v>6</v>
      </c>
      <c r="L332" s="3">
        <v>61700</v>
      </c>
      <c r="M332" s="3">
        <v>247800</v>
      </c>
      <c r="N332" s="3">
        <v>370200</v>
      </c>
      <c r="O332" s="4">
        <v>0</v>
      </c>
      <c r="P332" s="3">
        <v>0</v>
      </c>
      <c r="Q332" s="3">
        <v>370200</v>
      </c>
      <c r="R332" s="3">
        <v>122400</v>
      </c>
      <c r="S332" t="s">
        <v>57</v>
      </c>
      <c r="T332" t="s">
        <v>107</v>
      </c>
      <c r="U332" t="s">
        <v>68</v>
      </c>
      <c r="V332" s="5">
        <v>0.33063209076175037</v>
      </c>
    </row>
    <row r="333" spans="1:22" x14ac:dyDescent="0.35">
      <c r="A333" t="s">
        <v>824</v>
      </c>
      <c r="B333" s="2">
        <v>45904</v>
      </c>
      <c r="C333" t="s">
        <v>703</v>
      </c>
      <c r="D333" t="s">
        <v>825</v>
      </c>
      <c r="E333" t="s">
        <v>61</v>
      </c>
      <c r="F333" t="s">
        <v>125</v>
      </c>
      <c r="G333" t="s">
        <v>126</v>
      </c>
      <c r="H333" t="s">
        <v>64</v>
      </c>
      <c r="I333" t="s">
        <v>131</v>
      </c>
      <c r="J333" t="s">
        <v>91</v>
      </c>
      <c r="K333">
        <v>8</v>
      </c>
      <c r="L333" s="3">
        <v>123300</v>
      </c>
      <c r="M333" s="3">
        <v>639200</v>
      </c>
      <c r="N333" s="3">
        <v>986400</v>
      </c>
      <c r="O333" s="4">
        <v>0.08</v>
      </c>
      <c r="P333" s="3">
        <v>78912</v>
      </c>
      <c r="Q333" s="3">
        <v>907488</v>
      </c>
      <c r="R333" s="3">
        <v>268288</v>
      </c>
      <c r="S333" t="s">
        <v>121</v>
      </c>
      <c r="T333" t="s">
        <v>77</v>
      </c>
      <c r="U333" t="s">
        <v>49</v>
      </c>
      <c r="V333" s="5">
        <v>0.29563806904333723</v>
      </c>
    </row>
    <row r="334" spans="1:22" x14ac:dyDescent="0.35">
      <c r="A334" t="s">
        <v>826</v>
      </c>
      <c r="B334" s="2">
        <v>45906</v>
      </c>
      <c r="C334" t="s">
        <v>827</v>
      </c>
      <c r="D334" t="s">
        <v>620</v>
      </c>
      <c r="E334" t="s">
        <v>41</v>
      </c>
      <c r="F334" t="s">
        <v>53</v>
      </c>
      <c r="G334" t="s">
        <v>54</v>
      </c>
      <c r="H334" t="s">
        <v>44</v>
      </c>
      <c r="I334" t="s">
        <v>90</v>
      </c>
      <c r="J334" t="s">
        <v>91</v>
      </c>
      <c r="K334">
        <v>4</v>
      </c>
      <c r="L334" s="3">
        <v>177200</v>
      </c>
      <c r="M334" s="3">
        <v>519600</v>
      </c>
      <c r="N334" s="3">
        <v>708800</v>
      </c>
      <c r="O334" s="4">
        <v>0.08</v>
      </c>
      <c r="P334" s="3">
        <v>56704</v>
      </c>
      <c r="Q334" s="3">
        <v>652096</v>
      </c>
      <c r="R334" s="3">
        <v>132496</v>
      </c>
      <c r="S334" t="s">
        <v>47</v>
      </c>
      <c r="T334" t="s">
        <v>107</v>
      </c>
      <c r="U334" t="s">
        <v>49</v>
      </c>
      <c r="V334" s="5">
        <v>0.20318480714496029</v>
      </c>
    </row>
    <row r="335" spans="1:22" x14ac:dyDescent="0.35">
      <c r="A335" t="s">
        <v>828</v>
      </c>
      <c r="B335" s="2">
        <v>45906</v>
      </c>
      <c r="C335" t="s">
        <v>486</v>
      </c>
      <c r="D335" t="s">
        <v>829</v>
      </c>
      <c r="E335" t="s">
        <v>41</v>
      </c>
      <c r="F335" t="s">
        <v>81</v>
      </c>
      <c r="G335" t="s">
        <v>82</v>
      </c>
      <c r="H335" t="s">
        <v>64</v>
      </c>
      <c r="I335" t="s">
        <v>140</v>
      </c>
      <c r="J335" t="s">
        <v>46</v>
      </c>
      <c r="K335">
        <v>5</v>
      </c>
      <c r="L335" s="3">
        <v>259300</v>
      </c>
      <c r="M335" s="3">
        <v>1043000</v>
      </c>
      <c r="N335" s="3">
        <v>1296500</v>
      </c>
      <c r="O335" s="4">
        <v>0.05</v>
      </c>
      <c r="P335" s="3">
        <v>64825</v>
      </c>
      <c r="Q335" s="3">
        <v>1231675</v>
      </c>
      <c r="R335" s="3">
        <v>188675</v>
      </c>
      <c r="S335" t="s">
        <v>47</v>
      </c>
      <c r="T335" t="s">
        <v>48</v>
      </c>
      <c r="U335" t="s">
        <v>49</v>
      </c>
      <c r="V335" s="5">
        <v>0.1531857023971421</v>
      </c>
    </row>
    <row r="336" spans="1:22" x14ac:dyDescent="0.35">
      <c r="A336" t="s">
        <v>830</v>
      </c>
      <c r="B336" s="2">
        <v>45909</v>
      </c>
      <c r="C336" t="s">
        <v>303</v>
      </c>
      <c r="D336" t="s">
        <v>831</v>
      </c>
      <c r="E336" t="s">
        <v>41</v>
      </c>
      <c r="F336" t="s">
        <v>200</v>
      </c>
      <c r="G336" t="s">
        <v>201</v>
      </c>
      <c r="H336" t="s">
        <v>99</v>
      </c>
      <c r="I336" t="s">
        <v>83</v>
      </c>
      <c r="J336" t="s">
        <v>56</v>
      </c>
      <c r="K336">
        <v>3</v>
      </c>
      <c r="L336" s="3">
        <v>41900</v>
      </c>
      <c r="M336" s="3">
        <v>85800</v>
      </c>
      <c r="N336" s="3">
        <v>125700</v>
      </c>
      <c r="O336" s="4">
        <v>0</v>
      </c>
      <c r="P336" s="3">
        <v>0</v>
      </c>
      <c r="Q336" s="3">
        <v>125700</v>
      </c>
      <c r="R336" s="3">
        <v>39900</v>
      </c>
      <c r="S336" t="s">
        <v>76</v>
      </c>
      <c r="T336" t="s">
        <v>77</v>
      </c>
      <c r="U336" t="s">
        <v>49</v>
      </c>
      <c r="V336" s="5">
        <v>0.31742243436754181</v>
      </c>
    </row>
    <row r="337" spans="1:22" x14ac:dyDescent="0.35">
      <c r="A337" t="s">
        <v>832</v>
      </c>
      <c r="B337" s="2">
        <v>45910</v>
      </c>
      <c r="C337" t="s">
        <v>366</v>
      </c>
      <c r="D337" t="s">
        <v>833</v>
      </c>
      <c r="E337" t="s">
        <v>41</v>
      </c>
      <c r="F337" t="s">
        <v>73</v>
      </c>
      <c r="G337" t="s">
        <v>73</v>
      </c>
      <c r="H337" t="s">
        <v>74</v>
      </c>
      <c r="I337" t="s">
        <v>120</v>
      </c>
      <c r="J337" t="s">
        <v>56</v>
      </c>
      <c r="K337">
        <v>5</v>
      </c>
      <c r="L337" s="3">
        <v>89300</v>
      </c>
      <c r="M337" s="3">
        <v>264000</v>
      </c>
      <c r="N337" s="3">
        <v>446500</v>
      </c>
      <c r="O337" s="4">
        <v>0</v>
      </c>
      <c r="P337" s="3">
        <v>0</v>
      </c>
      <c r="Q337" s="3">
        <v>446500</v>
      </c>
      <c r="R337" s="3">
        <v>182500</v>
      </c>
      <c r="S337" t="s">
        <v>121</v>
      </c>
      <c r="T337" t="s">
        <v>48</v>
      </c>
      <c r="U337" t="s">
        <v>68</v>
      </c>
      <c r="V337" s="5">
        <v>0.40873460246360582</v>
      </c>
    </row>
    <row r="338" spans="1:22" x14ac:dyDescent="0.35">
      <c r="A338" t="s">
        <v>834</v>
      </c>
      <c r="B338" s="2">
        <v>45910</v>
      </c>
      <c r="C338" t="s">
        <v>827</v>
      </c>
      <c r="D338" t="s">
        <v>229</v>
      </c>
      <c r="E338" t="s">
        <v>41</v>
      </c>
      <c r="F338" t="s">
        <v>42</v>
      </c>
      <c r="G338" t="s">
        <v>43</v>
      </c>
      <c r="H338" t="s">
        <v>44</v>
      </c>
      <c r="I338" t="s">
        <v>45</v>
      </c>
      <c r="J338" t="s">
        <v>46</v>
      </c>
      <c r="K338">
        <v>4</v>
      </c>
      <c r="L338" s="3">
        <v>423500</v>
      </c>
      <c r="M338" s="3">
        <v>1350400</v>
      </c>
      <c r="N338" s="3">
        <v>1694000</v>
      </c>
      <c r="O338" s="4">
        <v>0.08</v>
      </c>
      <c r="P338" s="3">
        <v>135520</v>
      </c>
      <c r="Q338" s="3">
        <v>1558480</v>
      </c>
      <c r="R338" s="3">
        <v>208080</v>
      </c>
      <c r="S338" t="s">
        <v>47</v>
      </c>
      <c r="T338" t="s">
        <v>48</v>
      </c>
      <c r="U338" t="s">
        <v>49</v>
      </c>
      <c r="V338" s="5">
        <v>0.1335147066372363</v>
      </c>
    </row>
    <row r="339" spans="1:22" x14ac:dyDescent="0.35">
      <c r="A339" t="s">
        <v>835</v>
      </c>
      <c r="B339" s="2">
        <v>45910</v>
      </c>
      <c r="C339" t="s">
        <v>509</v>
      </c>
      <c r="D339" t="s">
        <v>307</v>
      </c>
      <c r="E339" t="s">
        <v>41</v>
      </c>
      <c r="F339" t="s">
        <v>81</v>
      </c>
      <c r="G339" t="s">
        <v>82</v>
      </c>
      <c r="H339" t="s">
        <v>64</v>
      </c>
      <c r="I339" t="s">
        <v>45</v>
      </c>
      <c r="J339" t="s">
        <v>46</v>
      </c>
      <c r="K339">
        <v>1</v>
      </c>
      <c r="L339" s="3">
        <v>436700</v>
      </c>
      <c r="M339" s="3">
        <v>334500</v>
      </c>
      <c r="N339" s="3">
        <v>436700</v>
      </c>
      <c r="O339" s="4">
        <v>0</v>
      </c>
      <c r="P339" s="3">
        <v>0</v>
      </c>
      <c r="Q339" s="3">
        <v>0</v>
      </c>
      <c r="R339" s="3">
        <v>0</v>
      </c>
      <c r="S339" t="s">
        <v>67</v>
      </c>
      <c r="T339" t="s">
        <v>107</v>
      </c>
      <c r="U339" t="s">
        <v>127</v>
      </c>
      <c r="V339" s="5">
        <v>0</v>
      </c>
    </row>
    <row r="340" spans="1:22" x14ac:dyDescent="0.35">
      <c r="A340" t="s">
        <v>836</v>
      </c>
      <c r="B340" s="2">
        <v>45910</v>
      </c>
      <c r="C340" t="s">
        <v>837</v>
      </c>
      <c r="D340" t="s">
        <v>478</v>
      </c>
      <c r="E340" t="s">
        <v>41</v>
      </c>
      <c r="F340" t="s">
        <v>73</v>
      </c>
      <c r="G340" t="s">
        <v>73</v>
      </c>
      <c r="H340" t="s">
        <v>74</v>
      </c>
      <c r="I340" t="s">
        <v>55</v>
      </c>
      <c r="J340" t="s">
        <v>56</v>
      </c>
      <c r="K340">
        <v>6</v>
      </c>
      <c r="L340" s="3">
        <v>35100</v>
      </c>
      <c r="M340" s="3">
        <v>123000</v>
      </c>
      <c r="N340" s="3">
        <v>210600</v>
      </c>
      <c r="O340" s="4">
        <v>0.05</v>
      </c>
      <c r="P340" s="3">
        <v>10530</v>
      </c>
      <c r="Q340" s="3">
        <v>200070</v>
      </c>
      <c r="R340" s="3">
        <v>77070</v>
      </c>
      <c r="S340" t="s">
        <v>121</v>
      </c>
      <c r="T340" t="s">
        <v>48</v>
      </c>
      <c r="U340" t="s">
        <v>49</v>
      </c>
      <c r="V340" s="5">
        <v>0.38521517468885891</v>
      </c>
    </row>
    <row r="341" spans="1:22" x14ac:dyDescent="0.35">
      <c r="A341" t="s">
        <v>838</v>
      </c>
      <c r="B341" s="2">
        <v>45911</v>
      </c>
      <c r="C341" t="s">
        <v>513</v>
      </c>
      <c r="D341" t="s">
        <v>839</v>
      </c>
      <c r="E341" t="s">
        <v>41</v>
      </c>
      <c r="F341" t="s">
        <v>168</v>
      </c>
      <c r="G341" t="s">
        <v>169</v>
      </c>
      <c r="H341" t="s">
        <v>74</v>
      </c>
      <c r="I341" t="s">
        <v>113</v>
      </c>
      <c r="J341" t="s">
        <v>66</v>
      </c>
      <c r="K341">
        <v>5</v>
      </c>
      <c r="L341" s="3">
        <v>198300</v>
      </c>
      <c r="M341" s="3">
        <v>738500</v>
      </c>
      <c r="N341" s="3">
        <v>991500</v>
      </c>
      <c r="O341" s="4">
        <v>0</v>
      </c>
      <c r="P341" s="3">
        <v>0</v>
      </c>
      <c r="Q341" s="3">
        <v>991500</v>
      </c>
      <c r="R341" s="3">
        <v>253000</v>
      </c>
      <c r="S341" t="s">
        <v>121</v>
      </c>
      <c r="T341" t="s">
        <v>48</v>
      </c>
      <c r="U341" t="s">
        <v>49</v>
      </c>
      <c r="V341" s="5">
        <v>0.25516893595562279</v>
      </c>
    </row>
    <row r="342" spans="1:22" x14ac:dyDescent="0.35">
      <c r="A342" t="s">
        <v>840</v>
      </c>
      <c r="B342" s="2">
        <v>45911</v>
      </c>
      <c r="C342" t="s">
        <v>486</v>
      </c>
      <c r="D342" t="s">
        <v>336</v>
      </c>
      <c r="E342" t="s">
        <v>41</v>
      </c>
      <c r="F342" t="s">
        <v>72</v>
      </c>
      <c r="G342" t="s">
        <v>73</v>
      </c>
      <c r="H342" t="s">
        <v>74</v>
      </c>
      <c r="I342" t="s">
        <v>90</v>
      </c>
      <c r="J342" t="s">
        <v>91</v>
      </c>
      <c r="K342">
        <v>7</v>
      </c>
      <c r="L342" s="3">
        <v>185300</v>
      </c>
      <c r="M342" s="3">
        <v>905100</v>
      </c>
      <c r="N342" s="3">
        <v>1297100</v>
      </c>
      <c r="O342" s="4">
        <v>0.02</v>
      </c>
      <c r="P342" s="3">
        <v>25942</v>
      </c>
      <c r="Q342" s="3">
        <v>1271158</v>
      </c>
      <c r="R342" s="3">
        <v>366058</v>
      </c>
      <c r="S342" t="s">
        <v>121</v>
      </c>
      <c r="T342" t="s">
        <v>107</v>
      </c>
      <c r="U342" t="s">
        <v>49</v>
      </c>
      <c r="V342" s="5">
        <v>0.28797206956176968</v>
      </c>
    </row>
    <row r="343" spans="1:22" x14ac:dyDescent="0.35">
      <c r="A343" t="s">
        <v>841</v>
      </c>
      <c r="B343" s="2">
        <v>45912</v>
      </c>
      <c r="C343" t="s">
        <v>413</v>
      </c>
      <c r="D343" t="s">
        <v>842</v>
      </c>
      <c r="E343" t="s">
        <v>61</v>
      </c>
      <c r="F343" t="s">
        <v>195</v>
      </c>
      <c r="G343" t="s">
        <v>195</v>
      </c>
      <c r="H343" t="s">
        <v>196</v>
      </c>
      <c r="I343" t="s">
        <v>103</v>
      </c>
      <c r="J343" t="s">
        <v>46</v>
      </c>
      <c r="K343">
        <v>8</v>
      </c>
      <c r="L343" s="3">
        <v>672500</v>
      </c>
      <c r="M343" s="3">
        <v>4212800</v>
      </c>
      <c r="N343" s="3">
        <v>5380000</v>
      </c>
      <c r="O343" s="4">
        <v>0</v>
      </c>
      <c r="P343" s="3">
        <v>0</v>
      </c>
      <c r="Q343" s="3">
        <v>5380000</v>
      </c>
      <c r="R343" s="3">
        <v>1167200</v>
      </c>
      <c r="S343" t="s">
        <v>121</v>
      </c>
      <c r="T343" t="s">
        <v>48</v>
      </c>
      <c r="U343" t="s">
        <v>49</v>
      </c>
      <c r="V343" s="5">
        <v>0.21695167286245351</v>
      </c>
    </row>
    <row r="344" spans="1:22" x14ac:dyDescent="0.35">
      <c r="A344" t="s">
        <v>843</v>
      </c>
      <c r="B344" s="2">
        <v>45912</v>
      </c>
      <c r="C344" t="s">
        <v>818</v>
      </c>
      <c r="D344" t="s">
        <v>844</v>
      </c>
      <c r="E344" t="s">
        <v>41</v>
      </c>
      <c r="F344" t="s">
        <v>62</v>
      </c>
      <c r="G344" t="s">
        <v>63</v>
      </c>
      <c r="H344" t="s">
        <v>64</v>
      </c>
      <c r="I344" t="s">
        <v>65</v>
      </c>
      <c r="J344" t="s">
        <v>66</v>
      </c>
      <c r="K344">
        <v>3</v>
      </c>
      <c r="L344" s="3">
        <v>167500</v>
      </c>
      <c r="M344" s="3">
        <v>347100</v>
      </c>
      <c r="N344" s="3">
        <v>502500</v>
      </c>
      <c r="O344" s="4">
        <v>0</v>
      </c>
      <c r="P344" s="3">
        <v>0</v>
      </c>
      <c r="Q344" s="3">
        <v>502500</v>
      </c>
      <c r="R344" s="3">
        <v>155400</v>
      </c>
      <c r="S344" t="s">
        <v>121</v>
      </c>
      <c r="T344" t="s">
        <v>77</v>
      </c>
      <c r="U344" t="s">
        <v>49</v>
      </c>
      <c r="V344" s="5">
        <v>0.3092537313432836</v>
      </c>
    </row>
    <row r="345" spans="1:22" x14ac:dyDescent="0.35">
      <c r="A345" t="s">
        <v>845</v>
      </c>
      <c r="B345" s="2">
        <v>45912</v>
      </c>
      <c r="C345" t="s">
        <v>246</v>
      </c>
      <c r="D345" t="s">
        <v>610</v>
      </c>
      <c r="E345" t="s">
        <v>61</v>
      </c>
      <c r="F345" t="s">
        <v>111</v>
      </c>
      <c r="G345" t="s">
        <v>112</v>
      </c>
      <c r="H345" t="s">
        <v>74</v>
      </c>
      <c r="I345" t="s">
        <v>45</v>
      </c>
      <c r="J345" t="s">
        <v>46</v>
      </c>
      <c r="K345">
        <v>6</v>
      </c>
      <c r="L345" s="3">
        <v>401100</v>
      </c>
      <c r="M345" s="3">
        <v>1981800</v>
      </c>
      <c r="N345" s="3">
        <v>2406600</v>
      </c>
      <c r="O345" s="4">
        <v>0.05</v>
      </c>
      <c r="P345" s="3">
        <v>120330</v>
      </c>
      <c r="Q345" s="3">
        <v>2286270</v>
      </c>
      <c r="R345" s="3">
        <v>304470</v>
      </c>
      <c r="S345" t="s">
        <v>57</v>
      </c>
      <c r="T345" t="s">
        <v>48</v>
      </c>
      <c r="U345" t="s">
        <v>49</v>
      </c>
      <c r="V345" s="5">
        <v>0.1331732472542613</v>
      </c>
    </row>
    <row r="346" spans="1:22" x14ac:dyDescent="0.35">
      <c r="A346" t="s">
        <v>846</v>
      </c>
      <c r="B346" s="2">
        <v>45915</v>
      </c>
      <c r="C346" t="s">
        <v>447</v>
      </c>
      <c r="D346" t="s">
        <v>436</v>
      </c>
      <c r="E346" t="s">
        <v>41</v>
      </c>
      <c r="F346" t="s">
        <v>62</v>
      </c>
      <c r="G346" t="s">
        <v>63</v>
      </c>
      <c r="H346" t="s">
        <v>64</v>
      </c>
      <c r="I346" t="s">
        <v>90</v>
      </c>
      <c r="J346" t="s">
        <v>91</v>
      </c>
      <c r="K346">
        <v>4</v>
      </c>
      <c r="L346" s="3">
        <v>174900</v>
      </c>
      <c r="M346" s="3">
        <v>493200</v>
      </c>
      <c r="N346" s="3">
        <v>699600</v>
      </c>
      <c r="O346" s="4">
        <v>0.05</v>
      </c>
      <c r="P346" s="3">
        <v>0</v>
      </c>
      <c r="Q346" s="3">
        <v>0</v>
      </c>
      <c r="R346" s="3">
        <v>0</v>
      </c>
      <c r="S346" t="s">
        <v>67</v>
      </c>
      <c r="T346" t="s">
        <v>48</v>
      </c>
      <c r="U346" t="s">
        <v>127</v>
      </c>
      <c r="V346" s="5">
        <v>0</v>
      </c>
    </row>
    <row r="347" spans="1:22" x14ac:dyDescent="0.35">
      <c r="A347" t="s">
        <v>847</v>
      </c>
      <c r="B347" s="2">
        <v>45915</v>
      </c>
      <c r="C347" t="s">
        <v>848</v>
      </c>
      <c r="D347" t="s">
        <v>849</v>
      </c>
      <c r="E347" t="s">
        <v>41</v>
      </c>
      <c r="F347" t="s">
        <v>111</v>
      </c>
      <c r="G347" t="s">
        <v>112</v>
      </c>
      <c r="H347" t="s">
        <v>74</v>
      </c>
      <c r="I347" t="s">
        <v>55</v>
      </c>
      <c r="J347" t="s">
        <v>56</v>
      </c>
      <c r="K347">
        <v>1</v>
      </c>
      <c r="L347" s="3">
        <v>37200</v>
      </c>
      <c r="M347" s="3">
        <v>20900</v>
      </c>
      <c r="N347" s="3">
        <v>37200</v>
      </c>
      <c r="O347" s="4">
        <v>0.02</v>
      </c>
      <c r="P347" s="3">
        <v>744</v>
      </c>
      <c r="Q347" s="3">
        <v>36456</v>
      </c>
      <c r="R347" s="3">
        <v>15556</v>
      </c>
      <c r="S347" t="s">
        <v>121</v>
      </c>
      <c r="T347" t="s">
        <v>48</v>
      </c>
      <c r="U347" t="s">
        <v>49</v>
      </c>
      <c r="V347" s="5">
        <v>0.42670616633750269</v>
      </c>
    </row>
    <row r="348" spans="1:22" x14ac:dyDescent="0.35">
      <c r="A348" t="s">
        <v>850</v>
      </c>
      <c r="B348" s="2">
        <v>45915</v>
      </c>
      <c r="C348" t="s">
        <v>640</v>
      </c>
      <c r="D348" t="s">
        <v>851</v>
      </c>
      <c r="E348" t="s">
        <v>41</v>
      </c>
      <c r="F348" t="s">
        <v>81</v>
      </c>
      <c r="G348" t="s">
        <v>82</v>
      </c>
      <c r="H348" t="s">
        <v>64</v>
      </c>
      <c r="I348" t="s">
        <v>55</v>
      </c>
      <c r="J348" t="s">
        <v>56</v>
      </c>
      <c r="K348">
        <v>6</v>
      </c>
      <c r="L348" s="3">
        <v>33100</v>
      </c>
      <c r="M348" s="3">
        <v>130800</v>
      </c>
      <c r="N348" s="3">
        <v>198600</v>
      </c>
      <c r="O348" s="4">
        <v>0.02</v>
      </c>
      <c r="P348" s="3">
        <v>3972</v>
      </c>
      <c r="Q348" s="3">
        <v>194628</v>
      </c>
      <c r="R348" s="3">
        <v>63828</v>
      </c>
      <c r="S348" t="s">
        <v>57</v>
      </c>
      <c r="T348" t="s">
        <v>48</v>
      </c>
      <c r="U348" t="s">
        <v>49</v>
      </c>
      <c r="V348" s="5">
        <v>0.32794870213946598</v>
      </c>
    </row>
    <row r="349" spans="1:22" x14ac:dyDescent="0.35">
      <c r="A349" t="s">
        <v>852</v>
      </c>
      <c r="B349" s="2">
        <v>45917</v>
      </c>
      <c r="C349" t="s">
        <v>656</v>
      </c>
      <c r="D349" t="s">
        <v>853</v>
      </c>
      <c r="E349" t="s">
        <v>41</v>
      </c>
      <c r="F349" t="s">
        <v>111</v>
      </c>
      <c r="G349" t="s">
        <v>112</v>
      </c>
      <c r="H349" t="s">
        <v>74</v>
      </c>
      <c r="I349" t="s">
        <v>131</v>
      </c>
      <c r="J349" t="s">
        <v>91</v>
      </c>
      <c r="K349">
        <v>1</v>
      </c>
      <c r="L349" s="3">
        <v>115000</v>
      </c>
      <c r="M349" s="3">
        <v>76200</v>
      </c>
      <c r="N349" s="3">
        <v>115000</v>
      </c>
      <c r="O349" s="4">
        <v>0</v>
      </c>
      <c r="P349" s="3">
        <v>0</v>
      </c>
      <c r="Q349" s="3">
        <v>115000</v>
      </c>
      <c r="R349" s="3">
        <v>38800</v>
      </c>
      <c r="S349" t="s">
        <v>47</v>
      </c>
      <c r="T349" t="s">
        <v>48</v>
      </c>
      <c r="U349" t="s">
        <v>49</v>
      </c>
      <c r="V349" s="5">
        <v>0.3373913043478261</v>
      </c>
    </row>
    <row r="350" spans="1:22" x14ac:dyDescent="0.35">
      <c r="A350" t="s">
        <v>854</v>
      </c>
      <c r="B350" s="2">
        <v>45917</v>
      </c>
      <c r="C350" t="s">
        <v>855</v>
      </c>
      <c r="D350" t="s">
        <v>856</v>
      </c>
      <c r="E350" t="s">
        <v>61</v>
      </c>
      <c r="F350" t="s">
        <v>73</v>
      </c>
      <c r="G350" t="s">
        <v>73</v>
      </c>
      <c r="H350" t="s">
        <v>74</v>
      </c>
      <c r="I350" t="s">
        <v>90</v>
      </c>
      <c r="J350" t="s">
        <v>91</v>
      </c>
      <c r="K350">
        <v>4</v>
      </c>
      <c r="L350" s="3">
        <v>185800</v>
      </c>
      <c r="M350" s="3">
        <v>484000</v>
      </c>
      <c r="N350" s="3">
        <v>743200</v>
      </c>
      <c r="O350" s="4">
        <v>0</v>
      </c>
      <c r="P350" s="3">
        <v>0</v>
      </c>
      <c r="Q350" s="3">
        <v>743200</v>
      </c>
      <c r="R350" s="3">
        <v>259200</v>
      </c>
      <c r="S350" t="s">
        <v>47</v>
      </c>
      <c r="T350" t="s">
        <v>77</v>
      </c>
      <c r="U350" t="s">
        <v>49</v>
      </c>
      <c r="V350" s="5">
        <v>0.348762109795479</v>
      </c>
    </row>
    <row r="351" spans="1:22" x14ac:dyDescent="0.35">
      <c r="A351" t="s">
        <v>857</v>
      </c>
      <c r="B351" s="2">
        <v>45917</v>
      </c>
      <c r="C351" t="s">
        <v>858</v>
      </c>
      <c r="D351" t="s">
        <v>80</v>
      </c>
      <c r="E351" t="s">
        <v>41</v>
      </c>
      <c r="F351" t="s">
        <v>72</v>
      </c>
      <c r="G351" t="s">
        <v>73</v>
      </c>
      <c r="H351" t="s">
        <v>74</v>
      </c>
      <c r="I351" t="s">
        <v>113</v>
      </c>
      <c r="J351" t="s">
        <v>66</v>
      </c>
      <c r="K351">
        <v>4</v>
      </c>
      <c r="L351" s="3">
        <v>203200</v>
      </c>
      <c r="M351" s="3">
        <v>582800</v>
      </c>
      <c r="N351" s="3">
        <v>812800</v>
      </c>
      <c r="O351" s="4">
        <v>0</v>
      </c>
      <c r="P351" s="3">
        <v>0</v>
      </c>
      <c r="Q351" s="3">
        <v>812800</v>
      </c>
      <c r="R351" s="3">
        <v>230000</v>
      </c>
      <c r="S351" t="s">
        <v>121</v>
      </c>
      <c r="T351" t="s">
        <v>77</v>
      </c>
      <c r="U351" t="s">
        <v>49</v>
      </c>
      <c r="V351" s="5">
        <v>0.28297244094488189</v>
      </c>
    </row>
    <row r="352" spans="1:22" x14ac:dyDescent="0.35">
      <c r="A352" t="s">
        <v>859</v>
      </c>
      <c r="B352" s="2">
        <v>45918</v>
      </c>
      <c r="C352" t="s">
        <v>109</v>
      </c>
      <c r="D352" t="s">
        <v>137</v>
      </c>
      <c r="E352" t="s">
        <v>41</v>
      </c>
      <c r="F352" t="s">
        <v>98</v>
      </c>
      <c r="G352" t="s">
        <v>98</v>
      </c>
      <c r="H352" t="s">
        <v>99</v>
      </c>
      <c r="I352" t="s">
        <v>45</v>
      </c>
      <c r="J352" t="s">
        <v>46</v>
      </c>
      <c r="K352">
        <v>7</v>
      </c>
      <c r="L352" s="3">
        <v>441200</v>
      </c>
      <c r="M352" s="3">
        <v>2383500</v>
      </c>
      <c r="N352" s="3">
        <v>3088400</v>
      </c>
      <c r="O352" s="4">
        <v>0.05</v>
      </c>
      <c r="P352" s="3">
        <v>154420</v>
      </c>
      <c r="Q352" s="3">
        <v>2933980</v>
      </c>
      <c r="R352" s="3">
        <v>550480</v>
      </c>
      <c r="S352" t="s">
        <v>76</v>
      </c>
      <c r="T352" t="s">
        <v>48</v>
      </c>
      <c r="U352" t="s">
        <v>49</v>
      </c>
      <c r="V352" s="5">
        <v>0.18762227418046479</v>
      </c>
    </row>
    <row r="353" spans="1:22" x14ac:dyDescent="0.35">
      <c r="A353" t="s">
        <v>860</v>
      </c>
      <c r="B353" s="2">
        <v>45918</v>
      </c>
      <c r="C353" t="s">
        <v>129</v>
      </c>
      <c r="D353" t="s">
        <v>316</v>
      </c>
      <c r="E353" t="s">
        <v>61</v>
      </c>
      <c r="F353" t="s">
        <v>200</v>
      </c>
      <c r="G353" t="s">
        <v>201</v>
      </c>
      <c r="H353" t="s">
        <v>99</v>
      </c>
      <c r="I353" t="s">
        <v>45</v>
      </c>
      <c r="J353" t="s">
        <v>46</v>
      </c>
      <c r="K353">
        <v>3</v>
      </c>
      <c r="L353" s="3">
        <v>450600</v>
      </c>
      <c r="M353" s="3">
        <v>1034100</v>
      </c>
      <c r="N353" s="3">
        <v>1351800</v>
      </c>
      <c r="O353" s="4">
        <v>0.05</v>
      </c>
      <c r="P353" s="3">
        <v>67590</v>
      </c>
      <c r="Q353" s="3">
        <v>1284210</v>
      </c>
      <c r="R353" s="3">
        <v>250110</v>
      </c>
      <c r="S353" t="s">
        <v>121</v>
      </c>
      <c r="T353" t="s">
        <v>48</v>
      </c>
      <c r="U353" t="s">
        <v>49</v>
      </c>
      <c r="V353" s="5">
        <v>0.19475786670404369</v>
      </c>
    </row>
    <row r="354" spans="1:22" x14ac:dyDescent="0.35">
      <c r="A354" t="s">
        <v>861</v>
      </c>
      <c r="B354" s="2">
        <v>45918</v>
      </c>
      <c r="C354" t="s">
        <v>862</v>
      </c>
      <c r="D354" t="s">
        <v>553</v>
      </c>
      <c r="E354" t="s">
        <v>61</v>
      </c>
      <c r="F354" t="s">
        <v>42</v>
      </c>
      <c r="G354" t="s">
        <v>43</v>
      </c>
      <c r="H354" t="s">
        <v>44</v>
      </c>
      <c r="I354" t="s">
        <v>156</v>
      </c>
      <c r="J354" t="s">
        <v>91</v>
      </c>
      <c r="K354">
        <v>5</v>
      </c>
      <c r="L354" s="3">
        <v>249600</v>
      </c>
      <c r="M354" s="3">
        <v>838000</v>
      </c>
      <c r="N354" s="3">
        <v>1248000</v>
      </c>
      <c r="O354" s="4">
        <v>0</v>
      </c>
      <c r="P354" s="3">
        <v>0</v>
      </c>
      <c r="Q354" s="3">
        <v>1248000</v>
      </c>
      <c r="R354" s="3">
        <v>410000</v>
      </c>
      <c r="S354" t="s">
        <v>47</v>
      </c>
      <c r="T354" t="s">
        <v>77</v>
      </c>
      <c r="U354" t="s">
        <v>49</v>
      </c>
      <c r="V354" s="5">
        <v>0.32852564102564102</v>
      </c>
    </row>
    <row r="355" spans="1:22" x14ac:dyDescent="0.35">
      <c r="A355" t="s">
        <v>863</v>
      </c>
      <c r="B355" s="2">
        <v>45919</v>
      </c>
      <c r="C355" t="s">
        <v>469</v>
      </c>
      <c r="D355" t="s">
        <v>372</v>
      </c>
      <c r="E355" t="s">
        <v>61</v>
      </c>
      <c r="F355" t="s">
        <v>98</v>
      </c>
      <c r="G355" t="s">
        <v>98</v>
      </c>
      <c r="H355" t="s">
        <v>99</v>
      </c>
      <c r="I355" t="s">
        <v>75</v>
      </c>
      <c r="J355" t="s">
        <v>56</v>
      </c>
      <c r="K355">
        <v>4</v>
      </c>
      <c r="L355" s="3">
        <v>64300</v>
      </c>
      <c r="M355" s="3">
        <v>162400</v>
      </c>
      <c r="N355" s="3">
        <v>257200</v>
      </c>
      <c r="O355" s="4">
        <v>0.05</v>
      </c>
      <c r="P355" s="3">
        <v>12860</v>
      </c>
      <c r="Q355" s="3">
        <v>244340</v>
      </c>
      <c r="R355" s="3">
        <v>81940</v>
      </c>
      <c r="S355" t="s">
        <v>121</v>
      </c>
      <c r="T355" t="s">
        <v>107</v>
      </c>
      <c r="U355" t="s">
        <v>49</v>
      </c>
      <c r="V355" s="5">
        <v>0.33535237783416549</v>
      </c>
    </row>
    <row r="356" spans="1:22" x14ac:dyDescent="0.35">
      <c r="A356" t="s">
        <v>864</v>
      </c>
      <c r="B356" s="2">
        <v>45920</v>
      </c>
      <c r="C356" t="s">
        <v>312</v>
      </c>
      <c r="D356" t="s">
        <v>865</v>
      </c>
      <c r="E356" t="s">
        <v>61</v>
      </c>
      <c r="F356" t="s">
        <v>98</v>
      </c>
      <c r="G356" t="s">
        <v>98</v>
      </c>
      <c r="H356" t="s">
        <v>99</v>
      </c>
      <c r="I356" t="s">
        <v>156</v>
      </c>
      <c r="J356" t="s">
        <v>91</v>
      </c>
      <c r="K356">
        <v>1</v>
      </c>
      <c r="L356" s="3">
        <v>242600</v>
      </c>
      <c r="M356" s="3">
        <v>161800</v>
      </c>
      <c r="N356" s="3">
        <v>242600</v>
      </c>
      <c r="O356" s="4">
        <v>0.1</v>
      </c>
      <c r="P356" s="3">
        <v>24260</v>
      </c>
      <c r="Q356" s="3">
        <v>218340</v>
      </c>
      <c r="R356" s="3">
        <v>56540</v>
      </c>
      <c r="S356" t="s">
        <v>121</v>
      </c>
      <c r="T356" t="s">
        <v>107</v>
      </c>
      <c r="U356" t="s">
        <v>49</v>
      </c>
      <c r="V356" s="5">
        <v>0.25895392507099019</v>
      </c>
    </row>
    <row r="357" spans="1:22" x14ac:dyDescent="0.35">
      <c r="A357" t="s">
        <v>866</v>
      </c>
      <c r="B357" s="2">
        <v>45920</v>
      </c>
      <c r="C357" t="s">
        <v>703</v>
      </c>
      <c r="D357" t="s">
        <v>778</v>
      </c>
      <c r="E357" t="s">
        <v>61</v>
      </c>
      <c r="F357" t="s">
        <v>62</v>
      </c>
      <c r="G357" t="s">
        <v>63</v>
      </c>
      <c r="H357" t="s">
        <v>64</v>
      </c>
      <c r="I357" t="s">
        <v>140</v>
      </c>
      <c r="J357" t="s">
        <v>46</v>
      </c>
      <c r="K357">
        <v>1</v>
      </c>
      <c r="L357" s="3">
        <v>285100</v>
      </c>
      <c r="M357" s="3">
        <v>221800</v>
      </c>
      <c r="N357" s="3">
        <v>285100</v>
      </c>
      <c r="O357" s="4">
        <v>0.05</v>
      </c>
      <c r="P357" s="3">
        <v>14255</v>
      </c>
      <c r="Q357" s="3">
        <v>270845</v>
      </c>
      <c r="R357" s="3">
        <v>49045</v>
      </c>
      <c r="S357" t="s">
        <v>121</v>
      </c>
      <c r="T357" t="s">
        <v>48</v>
      </c>
      <c r="U357" t="s">
        <v>49</v>
      </c>
      <c r="V357" s="5">
        <v>0.18108143033838539</v>
      </c>
    </row>
    <row r="358" spans="1:22" x14ac:dyDescent="0.35">
      <c r="A358" t="s">
        <v>867</v>
      </c>
      <c r="B358" s="2">
        <v>45921</v>
      </c>
      <c r="C358" t="s">
        <v>145</v>
      </c>
      <c r="D358" t="s">
        <v>868</v>
      </c>
      <c r="E358" t="s">
        <v>41</v>
      </c>
      <c r="F358" t="s">
        <v>168</v>
      </c>
      <c r="G358" t="s">
        <v>169</v>
      </c>
      <c r="H358" t="s">
        <v>74</v>
      </c>
      <c r="I358" t="s">
        <v>83</v>
      </c>
      <c r="J358" t="s">
        <v>56</v>
      </c>
      <c r="K358">
        <v>5</v>
      </c>
      <c r="L358" s="3">
        <v>47200</v>
      </c>
      <c r="M358" s="3">
        <v>140500</v>
      </c>
      <c r="N358" s="3">
        <v>236000</v>
      </c>
      <c r="O358" s="4">
        <v>0.02</v>
      </c>
      <c r="P358" s="3">
        <v>4720</v>
      </c>
      <c r="Q358" s="3">
        <v>231280</v>
      </c>
      <c r="R358" s="3">
        <v>90780</v>
      </c>
      <c r="S358" t="s">
        <v>76</v>
      </c>
      <c r="T358" t="s">
        <v>77</v>
      </c>
      <c r="U358" t="s">
        <v>49</v>
      </c>
      <c r="V358" s="5">
        <v>0.39251124178484947</v>
      </c>
    </row>
    <row r="359" spans="1:22" x14ac:dyDescent="0.35">
      <c r="A359" t="s">
        <v>869</v>
      </c>
      <c r="B359" s="2">
        <v>45922</v>
      </c>
      <c r="C359" t="s">
        <v>669</v>
      </c>
      <c r="D359" t="s">
        <v>870</v>
      </c>
      <c r="E359" t="s">
        <v>41</v>
      </c>
      <c r="F359" t="s">
        <v>125</v>
      </c>
      <c r="G359" t="s">
        <v>126</v>
      </c>
      <c r="H359" t="s">
        <v>64</v>
      </c>
      <c r="I359" t="s">
        <v>45</v>
      </c>
      <c r="J359" t="s">
        <v>46</v>
      </c>
      <c r="K359">
        <v>3</v>
      </c>
      <c r="L359" s="3">
        <v>388400</v>
      </c>
      <c r="M359" s="3">
        <v>1003500</v>
      </c>
      <c r="N359" s="3">
        <v>1165200</v>
      </c>
      <c r="O359" s="4">
        <v>0.05</v>
      </c>
      <c r="P359" s="3">
        <v>58260</v>
      </c>
      <c r="Q359" s="3">
        <v>1106940</v>
      </c>
      <c r="R359" s="3">
        <v>103440</v>
      </c>
      <c r="S359" t="s">
        <v>67</v>
      </c>
      <c r="T359" t="s">
        <v>48</v>
      </c>
      <c r="U359" t="s">
        <v>49</v>
      </c>
      <c r="V359" s="5">
        <v>9.3446799284514062E-2</v>
      </c>
    </row>
    <row r="360" spans="1:22" x14ac:dyDescent="0.35">
      <c r="A360" t="s">
        <v>871</v>
      </c>
      <c r="B360" s="2">
        <v>45923</v>
      </c>
      <c r="C360" t="s">
        <v>215</v>
      </c>
      <c r="D360" t="s">
        <v>872</v>
      </c>
      <c r="E360" t="s">
        <v>41</v>
      </c>
      <c r="F360" t="s">
        <v>53</v>
      </c>
      <c r="G360" t="s">
        <v>54</v>
      </c>
      <c r="H360" t="s">
        <v>44</v>
      </c>
      <c r="I360" t="s">
        <v>103</v>
      </c>
      <c r="J360" t="s">
        <v>46</v>
      </c>
      <c r="K360">
        <v>6</v>
      </c>
      <c r="L360" s="3">
        <v>660700</v>
      </c>
      <c r="M360" s="3">
        <v>3086400</v>
      </c>
      <c r="N360" s="3">
        <v>3964200</v>
      </c>
      <c r="O360" s="4">
        <v>0</v>
      </c>
      <c r="P360" s="3">
        <v>0</v>
      </c>
      <c r="Q360" s="3">
        <v>3964200</v>
      </c>
      <c r="R360" s="3">
        <v>877800</v>
      </c>
      <c r="S360" t="s">
        <v>121</v>
      </c>
      <c r="T360" t="s">
        <v>48</v>
      </c>
      <c r="U360" t="s">
        <v>49</v>
      </c>
      <c r="V360" s="5">
        <v>0.2214318147419404</v>
      </c>
    </row>
    <row r="361" spans="1:22" x14ac:dyDescent="0.35">
      <c r="A361" t="s">
        <v>873</v>
      </c>
      <c r="B361" s="2">
        <v>45923</v>
      </c>
      <c r="C361" t="s">
        <v>535</v>
      </c>
      <c r="D361" t="s">
        <v>353</v>
      </c>
      <c r="E361" t="s">
        <v>41</v>
      </c>
      <c r="F361" t="s">
        <v>81</v>
      </c>
      <c r="G361" t="s">
        <v>82</v>
      </c>
      <c r="H361" t="s">
        <v>64</v>
      </c>
      <c r="I361" t="s">
        <v>113</v>
      </c>
      <c r="J361" t="s">
        <v>66</v>
      </c>
      <c r="K361">
        <v>6</v>
      </c>
      <c r="L361" s="3">
        <v>220800</v>
      </c>
      <c r="M361" s="3">
        <v>928800</v>
      </c>
      <c r="N361" s="3">
        <v>1324800</v>
      </c>
      <c r="O361" s="4">
        <v>0.02</v>
      </c>
      <c r="P361" s="3">
        <v>26496</v>
      </c>
      <c r="Q361" s="3">
        <v>1298304</v>
      </c>
      <c r="R361" s="3">
        <v>369504</v>
      </c>
      <c r="S361" t="s">
        <v>67</v>
      </c>
      <c r="T361" t="s">
        <v>107</v>
      </c>
      <c r="U361" t="s">
        <v>49</v>
      </c>
      <c r="V361" s="5">
        <v>0.28460514640638862</v>
      </c>
    </row>
    <row r="362" spans="1:22" x14ac:dyDescent="0.35">
      <c r="A362" t="s">
        <v>874</v>
      </c>
      <c r="B362" s="2">
        <v>45924</v>
      </c>
      <c r="C362" t="s">
        <v>509</v>
      </c>
      <c r="D362" t="s">
        <v>875</v>
      </c>
      <c r="E362" t="s">
        <v>61</v>
      </c>
      <c r="F362" t="s">
        <v>195</v>
      </c>
      <c r="G362" t="s">
        <v>195</v>
      </c>
      <c r="H362" t="s">
        <v>196</v>
      </c>
      <c r="I362" t="s">
        <v>90</v>
      </c>
      <c r="J362" t="s">
        <v>91</v>
      </c>
      <c r="K362">
        <v>1</v>
      </c>
      <c r="L362" s="3">
        <v>168100</v>
      </c>
      <c r="M362" s="3">
        <v>120600</v>
      </c>
      <c r="N362" s="3">
        <v>168100</v>
      </c>
      <c r="O362" s="4">
        <v>0</v>
      </c>
      <c r="P362" s="3">
        <v>0</v>
      </c>
      <c r="Q362" s="3">
        <v>168100</v>
      </c>
      <c r="R362" s="3">
        <v>47500</v>
      </c>
      <c r="S362" t="s">
        <v>67</v>
      </c>
      <c r="T362" t="s">
        <v>77</v>
      </c>
      <c r="U362" t="s">
        <v>49</v>
      </c>
      <c r="V362" s="5">
        <v>0.28256989886972039</v>
      </c>
    </row>
    <row r="363" spans="1:22" x14ac:dyDescent="0.35">
      <c r="A363" t="s">
        <v>876</v>
      </c>
      <c r="B363" s="2">
        <v>45926</v>
      </c>
      <c r="C363" t="s">
        <v>703</v>
      </c>
      <c r="D363" t="s">
        <v>441</v>
      </c>
      <c r="E363" t="s">
        <v>41</v>
      </c>
      <c r="F363" t="s">
        <v>42</v>
      </c>
      <c r="G363" t="s">
        <v>43</v>
      </c>
      <c r="H363" t="s">
        <v>44</v>
      </c>
      <c r="I363" t="s">
        <v>90</v>
      </c>
      <c r="J363" t="s">
        <v>91</v>
      </c>
      <c r="K363">
        <v>4</v>
      </c>
      <c r="L363" s="3">
        <v>190200</v>
      </c>
      <c r="M363" s="3">
        <v>501600</v>
      </c>
      <c r="N363" s="3">
        <v>760800</v>
      </c>
      <c r="O363" s="4">
        <v>0.05</v>
      </c>
      <c r="P363" s="3">
        <v>38040</v>
      </c>
      <c r="Q363" s="3">
        <v>722760</v>
      </c>
      <c r="R363" s="3">
        <v>221160</v>
      </c>
      <c r="S363" t="s">
        <v>47</v>
      </c>
      <c r="T363" t="s">
        <v>77</v>
      </c>
      <c r="U363" t="s">
        <v>49</v>
      </c>
      <c r="V363" s="5">
        <v>0.305993690851735</v>
      </c>
    </row>
    <row r="364" spans="1:22" x14ac:dyDescent="0.35">
      <c r="A364" t="s">
        <v>877</v>
      </c>
      <c r="B364" s="2">
        <v>45927</v>
      </c>
      <c r="C364" t="s">
        <v>717</v>
      </c>
      <c r="D364" t="s">
        <v>878</v>
      </c>
      <c r="E364" t="s">
        <v>61</v>
      </c>
      <c r="F364" t="s">
        <v>168</v>
      </c>
      <c r="G364" t="s">
        <v>169</v>
      </c>
      <c r="H364" t="s">
        <v>74</v>
      </c>
      <c r="I364" t="s">
        <v>45</v>
      </c>
      <c r="J364" t="s">
        <v>46</v>
      </c>
      <c r="K364">
        <v>6</v>
      </c>
      <c r="L364" s="3">
        <v>388500</v>
      </c>
      <c r="M364" s="3">
        <v>2065200</v>
      </c>
      <c r="N364" s="3">
        <v>2331000</v>
      </c>
      <c r="O364" s="4">
        <v>0</v>
      </c>
      <c r="P364" s="3">
        <v>0</v>
      </c>
      <c r="Q364" s="3">
        <v>2331000</v>
      </c>
      <c r="R364" s="3">
        <v>265800</v>
      </c>
      <c r="S364" t="s">
        <v>47</v>
      </c>
      <c r="T364" t="s">
        <v>48</v>
      </c>
      <c r="U364" t="s">
        <v>49</v>
      </c>
      <c r="V364" s="5">
        <v>0.114028314028314</v>
      </c>
    </row>
    <row r="365" spans="1:22" x14ac:dyDescent="0.35">
      <c r="A365" t="s">
        <v>879</v>
      </c>
      <c r="B365" s="2">
        <v>45928</v>
      </c>
      <c r="C365" t="s">
        <v>410</v>
      </c>
      <c r="D365" t="s">
        <v>880</v>
      </c>
      <c r="E365" t="s">
        <v>41</v>
      </c>
      <c r="F365" t="s">
        <v>62</v>
      </c>
      <c r="G365" t="s">
        <v>63</v>
      </c>
      <c r="H365" t="s">
        <v>64</v>
      </c>
      <c r="I365" t="s">
        <v>45</v>
      </c>
      <c r="J365" t="s">
        <v>46</v>
      </c>
      <c r="K365">
        <v>1</v>
      </c>
      <c r="L365" s="3">
        <v>422100</v>
      </c>
      <c r="M365" s="3">
        <v>335300</v>
      </c>
      <c r="N365" s="3">
        <v>422100</v>
      </c>
      <c r="O365" s="4">
        <v>0.05</v>
      </c>
      <c r="P365" s="3">
        <v>21105</v>
      </c>
      <c r="Q365" s="3">
        <v>400995</v>
      </c>
      <c r="R365" s="3">
        <v>65695</v>
      </c>
      <c r="S365" t="s">
        <v>76</v>
      </c>
      <c r="T365" t="s">
        <v>107</v>
      </c>
      <c r="U365" t="s">
        <v>49</v>
      </c>
      <c r="V365" s="5">
        <v>0.163829972942306</v>
      </c>
    </row>
    <row r="366" spans="1:22" x14ac:dyDescent="0.35">
      <c r="A366" t="s">
        <v>881</v>
      </c>
      <c r="B366" s="2">
        <v>45928</v>
      </c>
      <c r="C366" t="s">
        <v>410</v>
      </c>
      <c r="D366" t="s">
        <v>882</v>
      </c>
      <c r="E366" t="s">
        <v>41</v>
      </c>
      <c r="F366" t="s">
        <v>53</v>
      </c>
      <c r="G366" t="s">
        <v>54</v>
      </c>
      <c r="H366" t="s">
        <v>44</v>
      </c>
      <c r="I366" t="s">
        <v>113</v>
      </c>
      <c r="J366" t="s">
        <v>66</v>
      </c>
      <c r="K366">
        <v>7</v>
      </c>
      <c r="L366" s="3">
        <v>207700</v>
      </c>
      <c r="M366" s="3">
        <v>1022000</v>
      </c>
      <c r="N366" s="3">
        <v>1453900</v>
      </c>
      <c r="O366" s="4">
        <v>0.05</v>
      </c>
      <c r="P366" s="3">
        <v>72695</v>
      </c>
      <c r="Q366" s="3">
        <v>1381205</v>
      </c>
      <c r="R366" s="3">
        <v>359205</v>
      </c>
      <c r="S366" t="s">
        <v>121</v>
      </c>
      <c r="T366" t="s">
        <v>107</v>
      </c>
      <c r="U366" t="s">
        <v>49</v>
      </c>
      <c r="V366" s="5">
        <v>0.2600663913032461</v>
      </c>
    </row>
    <row r="367" spans="1:22" x14ac:dyDescent="0.35">
      <c r="A367" t="s">
        <v>883</v>
      </c>
      <c r="B367" s="2">
        <v>45930</v>
      </c>
      <c r="C367" t="s">
        <v>259</v>
      </c>
      <c r="D367" t="s">
        <v>801</v>
      </c>
      <c r="E367" t="s">
        <v>41</v>
      </c>
      <c r="F367" t="s">
        <v>72</v>
      </c>
      <c r="G367" t="s">
        <v>73</v>
      </c>
      <c r="H367" t="s">
        <v>74</v>
      </c>
      <c r="I367" t="s">
        <v>103</v>
      </c>
      <c r="J367" t="s">
        <v>46</v>
      </c>
      <c r="K367">
        <v>7</v>
      </c>
      <c r="L367" s="3">
        <v>651800</v>
      </c>
      <c r="M367" s="3">
        <v>3572800</v>
      </c>
      <c r="N367" s="3">
        <v>4562600</v>
      </c>
      <c r="O367" s="4">
        <v>0.05</v>
      </c>
      <c r="P367" s="3">
        <v>228130</v>
      </c>
      <c r="Q367" s="3">
        <v>4334470</v>
      </c>
      <c r="R367" s="3">
        <v>761670</v>
      </c>
      <c r="S367" t="s">
        <v>47</v>
      </c>
      <c r="T367" t="s">
        <v>48</v>
      </c>
      <c r="U367" t="s">
        <v>49</v>
      </c>
      <c r="V367" s="5">
        <v>0.1757239062676636</v>
      </c>
    </row>
    <row r="368" spans="1:22" x14ac:dyDescent="0.35">
      <c r="A368" t="s">
        <v>884</v>
      </c>
      <c r="B368" s="2">
        <v>45930</v>
      </c>
      <c r="C368" t="s">
        <v>501</v>
      </c>
      <c r="D368" t="s">
        <v>754</v>
      </c>
      <c r="E368" t="s">
        <v>41</v>
      </c>
      <c r="F368" t="s">
        <v>125</v>
      </c>
      <c r="G368" t="s">
        <v>126</v>
      </c>
      <c r="H368" t="s">
        <v>64</v>
      </c>
      <c r="I368" t="s">
        <v>90</v>
      </c>
      <c r="J368" t="s">
        <v>91</v>
      </c>
      <c r="K368">
        <v>6</v>
      </c>
      <c r="L368" s="3">
        <v>169300</v>
      </c>
      <c r="M368" s="3">
        <v>741000</v>
      </c>
      <c r="N368" s="3">
        <v>1015800</v>
      </c>
      <c r="O368" s="4">
        <v>0</v>
      </c>
      <c r="P368" s="3">
        <v>0</v>
      </c>
      <c r="Q368" s="3">
        <v>1015800</v>
      </c>
      <c r="R368" s="3">
        <v>274800</v>
      </c>
      <c r="S368" t="s">
        <v>76</v>
      </c>
      <c r="T368" t="s">
        <v>48</v>
      </c>
      <c r="U368" t="s">
        <v>49</v>
      </c>
      <c r="V368" s="5">
        <v>0.27052569403425869</v>
      </c>
    </row>
    <row r="369" spans="1:22" x14ac:dyDescent="0.35">
      <c r="A369" t="s">
        <v>885</v>
      </c>
      <c r="B369" s="2">
        <v>45930</v>
      </c>
      <c r="C369" t="s">
        <v>827</v>
      </c>
      <c r="D369" t="s">
        <v>886</v>
      </c>
      <c r="E369" t="s">
        <v>41</v>
      </c>
      <c r="F369" t="s">
        <v>73</v>
      </c>
      <c r="G369" t="s">
        <v>73</v>
      </c>
      <c r="H369" t="s">
        <v>74</v>
      </c>
      <c r="I369" t="s">
        <v>90</v>
      </c>
      <c r="J369" t="s">
        <v>91</v>
      </c>
      <c r="K369">
        <v>4</v>
      </c>
      <c r="L369" s="3">
        <v>176400</v>
      </c>
      <c r="M369" s="3">
        <v>489200</v>
      </c>
      <c r="N369" s="3">
        <v>705600</v>
      </c>
      <c r="O369" s="4">
        <v>0</v>
      </c>
      <c r="P369" s="3">
        <v>0</v>
      </c>
      <c r="Q369" s="3">
        <v>705600</v>
      </c>
      <c r="R369" s="3">
        <v>216400</v>
      </c>
      <c r="S369" t="s">
        <v>57</v>
      </c>
      <c r="T369" t="s">
        <v>77</v>
      </c>
      <c r="U369" t="s">
        <v>49</v>
      </c>
      <c r="V369" s="5">
        <v>0.30668934240362811</v>
      </c>
    </row>
    <row r="370" spans="1:22" x14ac:dyDescent="0.35">
      <c r="A370" t="s">
        <v>887</v>
      </c>
      <c r="B370" s="2">
        <v>45930</v>
      </c>
      <c r="C370" t="s">
        <v>888</v>
      </c>
      <c r="D370" t="s">
        <v>889</v>
      </c>
      <c r="E370" t="s">
        <v>41</v>
      </c>
      <c r="F370" t="s">
        <v>125</v>
      </c>
      <c r="G370" t="s">
        <v>126</v>
      </c>
      <c r="H370" t="s">
        <v>64</v>
      </c>
      <c r="I370" t="s">
        <v>83</v>
      </c>
      <c r="J370" t="s">
        <v>56</v>
      </c>
      <c r="K370">
        <v>6</v>
      </c>
      <c r="L370" s="3">
        <v>42800</v>
      </c>
      <c r="M370" s="3">
        <v>172200</v>
      </c>
      <c r="N370" s="3">
        <v>256800</v>
      </c>
      <c r="O370" s="4">
        <v>0.05</v>
      </c>
      <c r="P370" s="3">
        <v>12840</v>
      </c>
      <c r="Q370" s="3">
        <v>243960</v>
      </c>
      <c r="R370" s="3">
        <v>71760</v>
      </c>
      <c r="S370" t="s">
        <v>67</v>
      </c>
      <c r="T370" t="s">
        <v>77</v>
      </c>
      <c r="U370" t="s">
        <v>49</v>
      </c>
      <c r="V370" s="5">
        <v>0.29414658140678801</v>
      </c>
    </row>
    <row r="371" spans="1:22" x14ac:dyDescent="0.35">
      <c r="A371" t="s">
        <v>890</v>
      </c>
      <c r="B371" s="2">
        <v>45932</v>
      </c>
      <c r="C371" t="s">
        <v>891</v>
      </c>
      <c r="D371" t="s">
        <v>892</v>
      </c>
      <c r="E371" t="s">
        <v>41</v>
      </c>
      <c r="F371" t="s">
        <v>168</v>
      </c>
      <c r="G371" t="s">
        <v>169</v>
      </c>
      <c r="H371" t="s">
        <v>74</v>
      </c>
      <c r="I371" t="s">
        <v>131</v>
      </c>
      <c r="J371" t="s">
        <v>91</v>
      </c>
      <c r="K371">
        <v>4</v>
      </c>
      <c r="L371" s="3">
        <v>125000</v>
      </c>
      <c r="M371" s="3">
        <v>317600</v>
      </c>
      <c r="N371" s="3">
        <v>500000</v>
      </c>
      <c r="O371" s="4">
        <v>0.02</v>
      </c>
      <c r="P371" s="3">
        <v>10000</v>
      </c>
      <c r="Q371" s="3">
        <v>490000</v>
      </c>
      <c r="R371" s="3">
        <v>172400</v>
      </c>
      <c r="S371" t="s">
        <v>47</v>
      </c>
      <c r="T371" t="s">
        <v>48</v>
      </c>
      <c r="U371" t="s">
        <v>49</v>
      </c>
      <c r="V371" s="5">
        <v>0.35183673469387761</v>
      </c>
    </row>
    <row r="372" spans="1:22" x14ac:dyDescent="0.35">
      <c r="A372" t="s">
        <v>893</v>
      </c>
      <c r="B372" s="2">
        <v>45935</v>
      </c>
      <c r="C372" t="s">
        <v>477</v>
      </c>
      <c r="D372" t="s">
        <v>894</v>
      </c>
      <c r="E372" t="s">
        <v>61</v>
      </c>
      <c r="F372" t="s">
        <v>72</v>
      </c>
      <c r="G372" t="s">
        <v>73</v>
      </c>
      <c r="H372" t="s">
        <v>74</v>
      </c>
      <c r="I372" t="s">
        <v>45</v>
      </c>
      <c r="J372" t="s">
        <v>46</v>
      </c>
      <c r="K372">
        <v>7</v>
      </c>
      <c r="L372" s="3">
        <v>453200</v>
      </c>
      <c r="M372" s="3">
        <v>2310000</v>
      </c>
      <c r="N372" s="3">
        <v>3172400</v>
      </c>
      <c r="O372" s="4">
        <v>0.05</v>
      </c>
      <c r="P372" s="3">
        <v>158620</v>
      </c>
      <c r="Q372" s="3">
        <v>3013780</v>
      </c>
      <c r="R372" s="3">
        <v>703780</v>
      </c>
      <c r="S372" t="s">
        <v>121</v>
      </c>
      <c r="T372" t="s">
        <v>48</v>
      </c>
      <c r="U372" t="s">
        <v>49</v>
      </c>
      <c r="V372" s="5">
        <v>0.23352069494123659</v>
      </c>
    </row>
    <row r="373" spans="1:22" x14ac:dyDescent="0.35">
      <c r="A373" t="s">
        <v>895</v>
      </c>
      <c r="B373" s="2">
        <v>45937</v>
      </c>
      <c r="C373" t="s">
        <v>405</v>
      </c>
      <c r="D373" t="s">
        <v>896</v>
      </c>
      <c r="E373" t="s">
        <v>41</v>
      </c>
      <c r="F373" t="s">
        <v>81</v>
      </c>
      <c r="G373" t="s">
        <v>82</v>
      </c>
      <c r="H373" t="s">
        <v>64</v>
      </c>
      <c r="I373" t="s">
        <v>131</v>
      </c>
      <c r="J373" t="s">
        <v>91</v>
      </c>
      <c r="K373">
        <v>6</v>
      </c>
      <c r="L373" s="3">
        <v>125400</v>
      </c>
      <c r="M373" s="3">
        <v>478800</v>
      </c>
      <c r="N373" s="3">
        <v>752400</v>
      </c>
      <c r="O373" s="4">
        <v>0.05</v>
      </c>
      <c r="P373" s="3">
        <v>0</v>
      </c>
      <c r="Q373" s="3">
        <v>0</v>
      </c>
      <c r="R373" s="3">
        <v>0</v>
      </c>
      <c r="S373" t="s">
        <v>47</v>
      </c>
      <c r="T373" t="s">
        <v>48</v>
      </c>
      <c r="U373" t="s">
        <v>127</v>
      </c>
      <c r="V373" s="5">
        <v>0</v>
      </c>
    </row>
    <row r="374" spans="1:22" x14ac:dyDescent="0.35">
      <c r="A374" t="s">
        <v>897</v>
      </c>
      <c r="B374" s="2">
        <v>45938</v>
      </c>
      <c r="C374" t="s">
        <v>179</v>
      </c>
      <c r="D374" t="s">
        <v>277</v>
      </c>
      <c r="E374" t="s">
        <v>41</v>
      </c>
      <c r="F374" t="s">
        <v>73</v>
      </c>
      <c r="G374" t="s">
        <v>73</v>
      </c>
      <c r="H374" t="s">
        <v>74</v>
      </c>
      <c r="I374" t="s">
        <v>55</v>
      </c>
      <c r="J374" t="s">
        <v>56</v>
      </c>
      <c r="K374">
        <v>2</v>
      </c>
      <c r="L374" s="3">
        <v>37200</v>
      </c>
      <c r="M374" s="3">
        <v>41000</v>
      </c>
      <c r="N374" s="3">
        <v>74400</v>
      </c>
      <c r="O374" s="4">
        <v>0</v>
      </c>
      <c r="P374" s="3">
        <v>0</v>
      </c>
      <c r="Q374" s="3">
        <v>74400</v>
      </c>
      <c r="R374" s="3">
        <v>33400</v>
      </c>
      <c r="S374" t="s">
        <v>67</v>
      </c>
      <c r="T374" t="s">
        <v>107</v>
      </c>
      <c r="U374" t="s">
        <v>49</v>
      </c>
      <c r="V374" s="5">
        <v>0.44892473118279569</v>
      </c>
    </row>
    <row r="375" spans="1:22" x14ac:dyDescent="0.35">
      <c r="A375" t="s">
        <v>898</v>
      </c>
      <c r="B375" s="2">
        <v>45939</v>
      </c>
      <c r="C375" t="s">
        <v>678</v>
      </c>
      <c r="D375" t="s">
        <v>319</v>
      </c>
      <c r="E375" t="s">
        <v>61</v>
      </c>
      <c r="F375" t="s">
        <v>42</v>
      </c>
      <c r="G375" t="s">
        <v>43</v>
      </c>
      <c r="H375" t="s">
        <v>44</v>
      </c>
      <c r="I375" t="s">
        <v>140</v>
      </c>
      <c r="J375" t="s">
        <v>46</v>
      </c>
      <c r="K375">
        <v>1</v>
      </c>
      <c r="L375" s="3">
        <v>299900</v>
      </c>
      <c r="M375" s="3">
        <v>207100</v>
      </c>
      <c r="N375" s="3">
        <v>299900</v>
      </c>
      <c r="O375" s="4">
        <v>0.05</v>
      </c>
      <c r="P375" s="3">
        <v>14995</v>
      </c>
      <c r="Q375" s="3">
        <v>284905</v>
      </c>
      <c r="R375" s="3">
        <v>77805</v>
      </c>
      <c r="S375" t="s">
        <v>121</v>
      </c>
      <c r="T375" t="s">
        <v>48</v>
      </c>
      <c r="U375" t="s">
        <v>68</v>
      </c>
      <c r="V375" s="5">
        <v>0.27309103034344778</v>
      </c>
    </row>
    <row r="376" spans="1:22" x14ac:dyDescent="0.35">
      <c r="A376" t="s">
        <v>899</v>
      </c>
      <c r="B376" s="2">
        <v>45939</v>
      </c>
      <c r="C376" t="s">
        <v>413</v>
      </c>
      <c r="D376" t="s">
        <v>900</v>
      </c>
      <c r="E376" t="s">
        <v>41</v>
      </c>
      <c r="F376" t="s">
        <v>111</v>
      </c>
      <c r="G376" t="s">
        <v>112</v>
      </c>
      <c r="H376" t="s">
        <v>74</v>
      </c>
      <c r="I376" t="s">
        <v>103</v>
      </c>
      <c r="J376" t="s">
        <v>46</v>
      </c>
      <c r="K376">
        <v>8</v>
      </c>
      <c r="L376" s="3">
        <v>667500</v>
      </c>
      <c r="M376" s="3">
        <v>4200000</v>
      </c>
      <c r="N376" s="3">
        <v>5340000</v>
      </c>
      <c r="O376" s="4">
        <v>0.02</v>
      </c>
      <c r="P376" s="3">
        <v>106800</v>
      </c>
      <c r="Q376" s="3">
        <v>5233200</v>
      </c>
      <c r="R376" s="3">
        <v>1033200</v>
      </c>
      <c r="S376" t="s">
        <v>47</v>
      </c>
      <c r="T376" t="s">
        <v>48</v>
      </c>
      <c r="U376" t="s">
        <v>49</v>
      </c>
      <c r="V376" s="5">
        <v>0.1974317817014446</v>
      </c>
    </row>
    <row r="377" spans="1:22" x14ac:dyDescent="0.35">
      <c r="A377" t="s">
        <v>901</v>
      </c>
      <c r="B377" s="2">
        <v>45939</v>
      </c>
      <c r="C377" t="s">
        <v>513</v>
      </c>
      <c r="D377" t="s">
        <v>143</v>
      </c>
      <c r="E377" t="s">
        <v>61</v>
      </c>
      <c r="F377" t="s">
        <v>111</v>
      </c>
      <c r="G377" t="s">
        <v>112</v>
      </c>
      <c r="H377" t="s">
        <v>74</v>
      </c>
      <c r="I377" t="s">
        <v>83</v>
      </c>
      <c r="J377" t="s">
        <v>56</v>
      </c>
      <c r="K377">
        <v>1</v>
      </c>
      <c r="L377" s="3">
        <v>45300</v>
      </c>
      <c r="M377" s="3">
        <v>27900</v>
      </c>
      <c r="N377" s="3">
        <v>45300</v>
      </c>
      <c r="O377" s="4">
        <v>0.05</v>
      </c>
      <c r="P377" s="3">
        <v>2265</v>
      </c>
      <c r="Q377" s="3">
        <v>43035</v>
      </c>
      <c r="R377" s="3">
        <v>15135</v>
      </c>
      <c r="S377" t="s">
        <v>121</v>
      </c>
      <c r="T377" t="s">
        <v>77</v>
      </c>
      <c r="U377" t="s">
        <v>49</v>
      </c>
      <c r="V377" s="5">
        <v>0.35169048448936913</v>
      </c>
    </row>
    <row r="378" spans="1:22" x14ac:dyDescent="0.35">
      <c r="A378" t="s">
        <v>902</v>
      </c>
      <c r="B378" s="2">
        <v>45940</v>
      </c>
      <c r="C378" t="s">
        <v>105</v>
      </c>
      <c r="D378" t="s">
        <v>903</v>
      </c>
      <c r="E378" t="s">
        <v>61</v>
      </c>
      <c r="F378" t="s">
        <v>195</v>
      </c>
      <c r="G378" t="s">
        <v>195</v>
      </c>
      <c r="H378" t="s">
        <v>196</v>
      </c>
      <c r="I378" t="s">
        <v>103</v>
      </c>
      <c r="J378" t="s">
        <v>46</v>
      </c>
      <c r="K378">
        <v>4</v>
      </c>
      <c r="L378" s="3">
        <v>639400</v>
      </c>
      <c r="M378" s="3">
        <v>2158800</v>
      </c>
      <c r="N378" s="3">
        <v>2557600</v>
      </c>
      <c r="O378" s="4">
        <v>0.02</v>
      </c>
      <c r="P378" s="3">
        <v>51152</v>
      </c>
      <c r="Q378" s="3">
        <v>2506448</v>
      </c>
      <c r="R378" s="3">
        <v>347648</v>
      </c>
      <c r="S378" t="s">
        <v>67</v>
      </c>
      <c r="T378" t="s">
        <v>48</v>
      </c>
      <c r="U378" t="s">
        <v>49</v>
      </c>
      <c r="V378" s="5">
        <v>0.13870146119129539</v>
      </c>
    </row>
    <row r="379" spans="1:22" x14ac:dyDescent="0.35">
      <c r="A379" t="s">
        <v>904</v>
      </c>
      <c r="B379" s="2">
        <v>45941</v>
      </c>
      <c r="C379" t="s">
        <v>633</v>
      </c>
      <c r="D379" t="s">
        <v>134</v>
      </c>
      <c r="E379" t="s">
        <v>61</v>
      </c>
      <c r="F379" t="s">
        <v>200</v>
      </c>
      <c r="G379" t="s">
        <v>201</v>
      </c>
      <c r="H379" t="s">
        <v>99</v>
      </c>
      <c r="I379" t="s">
        <v>156</v>
      </c>
      <c r="J379" t="s">
        <v>91</v>
      </c>
      <c r="K379">
        <v>1</v>
      </c>
      <c r="L379" s="3">
        <v>238100</v>
      </c>
      <c r="M379" s="3">
        <v>166200</v>
      </c>
      <c r="N379" s="3">
        <v>238100</v>
      </c>
      <c r="O379" s="4">
        <v>0.08</v>
      </c>
      <c r="P379" s="3">
        <v>19048</v>
      </c>
      <c r="Q379" s="3">
        <v>219052</v>
      </c>
      <c r="R379" s="3">
        <v>52852</v>
      </c>
      <c r="S379" t="s">
        <v>67</v>
      </c>
      <c r="T379" t="s">
        <v>77</v>
      </c>
      <c r="U379" t="s">
        <v>49</v>
      </c>
      <c r="V379" s="5">
        <v>0.2412760440443365</v>
      </c>
    </row>
    <row r="380" spans="1:22" x14ac:dyDescent="0.35">
      <c r="A380" t="s">
        <v>905</v>
      </c>
      <c r="B380" s="2">
        <v>45941</v>
      </c>
      <c r="C380" t="s">
        <v>410</v>
      </c>
      <c r="D380" t="s">
        <v>310</v>
      </c>
      <c r="E380" t="s">
        <v>61</v>
      </c>
      <c r="F380" t="s">
        <v>200</v>
      </c>
      <c r="G380" t="s">
        <v>201</v>
      </c>
      <c r="H380" t="s">
        <v>99</v>
      </c>
      <c r="I380" t="s">
        <v>113</v>
      </c>
      <c r="J380" t="s">
        <v>66</v>
      </c>
      <c r="K380">
        <v>7</v>
      </c>
      <c r="L380" s="3">
        <v>210000</v>
      </c>
      <c r="M380" s="3">
        <v>1061900</v>
      </c>
      <c r="N380" s="3">
        <v>1470000</v>
      </c>
      <c r="O380" s="4">
        <v>0.02</v>
      </c>
      <c r="P380" s="3">
        <v>29400</v>
      </c>
      <c r="Q380" s="3">
        <v>1440600</v>
      </c>
      <c r="R380" s="3">
        <v>378700</v>
      </c>
      <c r="S380" t="s">
        <v>67</v>
      </c>
      <c r="T380" t="s">
        <v>48</v>
      </c>
      <c r="U380" t="s">
        <v>49</v>
      </c>
      <c r="V380" s="5">
        <v>0.26287657920310981</v>
      </c>
    </row>
    <row r="381" spans="1:22" x14ac:dyDescent="0.35">
      <c r="A381" t="s">
        <v>906</v>
      </c>
      <c r="B381" s="2">
        <v>45943</v>
      </c>
      <c r="C381" t="s">
        <v>303</v>
      </c>
      <c r="D381" t="s">
        <v>706</v>
      </c>
      <c r="E381" t="s">
        <v>61</v>
      </c>
      <c r="F381" t="s">
        <v>62</v>
      </c>
      <c r="G381" t="s">
        <v>63</v>
      </c>
      <c r="H381" t="s">
        <v>64</v>
      </c>
      <c r="I381" t="s">
        <v>140</v>
      </c>
      <c r="J381" t="s">
        <v>46</v>
      </c>
      <c r="K381">
        <v>6</v>
      </c>
      <c r="L381" s="3">
        <v>275200</v>
      </c>
      <c r="M381" s="3">
        <v>1330200</v>
      </c>
      <c r="N381" s="3">
        <v>1651200</v>
      </c>
      <c r="O381" s="4">
        <v>0.05</v>
      </c>
      <c r="P381" s="3">
        <v>82560</v>
      </c>
      <c r="Q381" s="3">
        <v>1568640</v>
      </c>
      <c r="R381" s="3">
        <v>238440</v>
      </c>
      <c r="S381" t="s">
        <v>121</v>
      </c>
      <c r="T381" t="s">
        <v>48</v>
      </c>
      <c r="U381" t="s">
        <v>49</v>
      </c>
      <c r="V381" s="5">
        <v>0.15200428396572829</v>
      </c>
    </row>
    <row r="382" spans="1:22" x14ac:dyDescent="0.35">
      <c r="A382" t="s">
        <v>907</v>
      </c>
      <c r="B382" s="2">
        <v>45943</v>
      </c>
      <c r="C382" t="s">
        <v>489</v>
      </c>
      <c r="D382" t="s">
        <v>615</v>
      </c>
      <c r="E382" t="s">
        <v>61</v>
      </c>
      <c r="F382" t="s">
        <v>62</v>
      </c>
      <c r="G382" t="s">
        <v>63</v>
      </c>
      <c r="H382" t="s">
        <v>64</v>
      </c>
      <c r="I382" t="s">
        <v>131</v>
      </c>
      <c r="J382" t="s">
        <v>91</v>
      </c>
      <c r="K382">
        <v>4</v>
      </c>
      <c r="L382" s="3">
        <v>126600</v>
      </c>
      <c r="M382" s="3">
        <v>303200</v>
      </c>
      <c r="N382" s="3">
        <v>506400</v>
      </c>
      <c r="O382" s="4">
        <v>0.05</v>
      </c>
      <c r="P382" s="3">
        <v>25320</v>
      </c>
      <c r="Q382" s="3">
        <v>481080</v>
      </c>
      <c r="R382" s="3">
        <v>177880</v>
      </c>
      <c r="S382" t="s">
        <v>121</v>
      </c>
      <c r="T382" t="s">
        <v>107</v>
      </c>
      <c r="U382" t="s">
        <v>49</v>
      </c>
      <c r="V382" s="5">
        <v>0.36975139269975887</v>
      </c>
    </row>
    <row r="383" spans="1:22" x14ac:dyDescent="0.35">
      <c r="A383" t="s">
        <v>908</v>
      </c>
      <c r="B383" s="2">
        <v>45944</v>
      </c>
      <c r="C383" t="s">
        <v>129</v>
      </c>
      <c r="D383" t="s">
        <v>543</v>
      </c>
      <c r="E383" t="s">
        <v>41</v>
      </c>
      <c r="F383" t="s">
        <v>125</v>
      </c>
      <c r="G383" t="s">
        <v>126</v>
      </c>
      <c r="H383" t="s">
        <v>64</v>
      </c>
      <c r="I383" t="s">
        <v>113</v>
      </c>
      <c r="J383" t="s">
        <v>66</v>
      </c>
      <c r="K383">
        <v>7</v>
      </c>
      <c r="L383" s="3">
        <v>213000</v>
      </c>
      <c r="M383" s="3">
        <v>1058400</v>
      </c>
      <c r="N383" s="3">
        <v>1491000</v>
      </c>
      <c r="O383" s="4">
        <v>0</v>
      </c>
      <c r="P383" s="3">
        <v>0</v>
      </c>
      <c r="Q383" s="3">
        <v>1491000</v>
      </c>
      <c r="R383" s="3">
        <v>432600</v>
      </c>
      <c r="S383" t="s">
        <v>67</v>
      </c>
      <c r="T383" t="s">
        <v>48</v>
      </c>
      <c r="U383" t="s">
        <v>49</v>
      </c>
      <c r="V383" s="5">
        <v>0.29014084507042248</v>
      </c>
    </row>
    <row r="384" spans="1:22" x14ac:dyDescent="0.35">
      <c r="A384" t="s">
        <v>909</v>
      </c>
      <c r="B384" s="2">
        <v>45944</v>
      </c>
      <c r="C384" t="s">
        <v>678</v>
      </c>
      <c r="D384" t="s">
        <v>910</v>
      </c>
      <c r="E384" t="s">
        <v>41</v>
      </c>
      <c r="F384" t="s">
        <v>53</v>
      </c>
      <c r="G384" t="s">
        <v>54</v>
      </c>
      <c r="H384" t="s">
        <v>44</v>
      </c>
      <c r="I384" t="s">
        <v>75</v>
      </c>
      <c r="J384" t="s">
        <v>56</v>
      </c>
      <c r="K384">
        <v>7</v>
      </c>
      <c r="L384" s="3">
        <v>65800</v>
      </c>
      <c r="M384" s="3">
        <v>290500</v>
      </c>
      <c r="N384" s="3">
        <v>460600</v>
      </c>
      <c r="O384" s="4">
        <v>0.1</v>
      </c>
      <c r="P384" s="3">
        <v>46060</v>
      </c>
      <c r="Q384" s="3">
        <v>414540</v>
      </c>
      <c r="R384" s="3">
        <v>124040</v>
      </c>
      <c r="S384" t="s">
        <v>121</v>
      </c>
      <c r="T384" t="s">
        <v>77</v>
      </c>
      <c r="U384" t="s">
        <v>49</v>
      </c>
      <c r="V384" s="5">
        <v>0.29922323539344808</v>
      </c>
    </row>
    <row r="385" spans="1:22" x14ac:dyDescent="0.35">
      <c r="A385" t="s">
        <v>911</v>
      </c>
      <c r="B385" s="2">
        <v>45944</v>
      </c>
      <c r="C385" t="s">
        <v>101</v>
      </c>
      <c r="D385" t="s">
        <v>912</v>
      </c>
      <c r="E385" t="s">
        <v>61</v>
      </c>
      <c r="F385" t="s">
        <v>168</v>
      </c>
      <c r="G385" t="s">
        <v>169</v>
      </c>
      <c r="H385" t="s">
        <v>74</v>
      </c>
      <c r="I385" t="s">
        <v>45</v>
      </c>
      <c r="J385" t="s">
        <v>46</v>
      </c>
      <c r="K385">
        <v>7</v>
      </c>
      <c r="L385" s="3">
        <v>435400</v>
      </c>
      <c r="M385" s="3">
        <v>2397500</v>
      </c>
      <c r="N385" s="3">
        <v>3047800</v>
      </c>
      <c r="O385" s="4">
        <v>0</v>
      </c>
      <c r="P385" s="3">
        <v>0</v>
      </c>
      <c r="Q385" s="3">
        <v>3047800</v>
      </c>
      <c r="R385" s="3">
        <v>650300</v>
      </c>
      <c r="S385" t="s">
        <v>47</v>
      </c>
      <c r="T385" t="s">
        <v>77</v>
      </c>
      <c r="U385" t="s">
        <v>49</v>
      </c>
      <c r="V385" s="5">
        <v>0.21336701883325679</v>
      </c>
    </row>
    <row r="386" spans="1:22" x14ac:dyDescent="0.35">
      <c r="A386" t="s">
        <v>913</v>
      </c>
      <c r="B386" s="2">
        <v>45945</v>
      </c>
      <c r="C386" t="s">
        <v>123</v>
      </c>
      <c r="D386" t="s">
        <v>872</v>
      </c>
      <c r="E386" t="s">
        <v>61</v>
      </c>
      <c r="F386" t="s">
        <v>168</v>
      </c>
      <c r="G386" t="s">
        <v>169</v>
      </c>
      <c r="H386" t="s">
        <v>74</v>
      </c>
      <c r="I386" t="s">
        <v>75</v>
      </c>
      <c r="J386" t="s">
        <v>56</v>
      </c>
      <c r="K386">
        <v>4</v>
      </c>
      <c r="L386" s="3">
        <v>64700</v>
      </c>
      <c r="M386" s="3">
        <v>162800</v>
      </c>
      <c r="N386" s="3">
        <v>258800</v>
      </c>
      <c r="O386" s="4">
        <v>0.02</v>
      </c>
      <c r="P386" s="3">
        <v>5176</v>
      </c>
      <c r="Q386" s="3">
        <v>253624</v>
      </c>
      <c r="R386" s="3">
        <v>90824</v>
      </c>
      <c r="S386" t="s">
        <v>47</v>
      </c>
      <c r="T386" t="s">
        <v>77</v>
      </c>
      <c r="U386" t="s">
        <v>68</v>
      </c>
      <c r="V386" s="5">
        <v>0.35810491120714127</v>
      </c>
    </row>
    <row r="387" spans="1:22" x14ac:dyDescent="0.35">
      <c r="A387" t="s">
        <v>914</v>
      </c>
      <c r="B387" s="2">
        <v>45945</v>
      </c>
      <c r="C387" t="s">
        <v>862</v>
      </c>
      <c r="D387" t="s">
        <v>482</v>
      </c>
      <c r="E387" t="s">
        <v>41</v>
      </c>
      <c r="F387" t="s">
        <v>62</v>
      </c>
      <c r="G387" t="s">
        <v>63</v>
      </c>
      <c r="H387" t="s">
        <v>64</v>
      </c>
      <c r="I387" t="s">
        <v>90</v>
      </c>
      <c r="J387" t="s">
        <v>91</v>
      </c>
      <c r="K387">
        <v>4</v>
      </c>
      <c r="L387" s="3">
        <v>174900</v>
      </c>
      <c r="M387" s="3">
        <v>506800</v>
      </c>
      <c r="N387" s="3">
        <v>699600</v>
      </c>
      <c r="O387" s="4">
        <v>0.02</v>
      </c>
      <c r="P387" s="3">
        <v>13992</v>
      </c>
      <c r="Q387" s="3">
        <v>685608</v>
      </c>
      <c r="R387" s="3">
        <v>178808</v>
      </c>
      <c r="S387" t="s">
        <v>57</v>
      </c>
      <c r="T387" t="s">
        <v>77</v>
      </c>
      <c r="U387" t="s">
        <v>49</v>
      </c>
      <c r="V387" s="5">
        <v>0.26080209099077017</v>
      </c>
    </row>
    <row r="388" spans="1:22" x14ac:dyDescent="0.35">
      <c r="A388" t="s">
        <v>915</v>
      </c>
      <c r="B388" s="2">
        <v>45949</v>
      </c>
      <c r="C388" t="s">
        <v>916</v>
      </c>
      <c r="D388" t="s">
        <v>693</v>
      </c>
      <c r="E388" t="s">
        <v>41</v>
      </c>
      <c r="F388" t="s">
        <v>111</v>
      </c>
      <c r="G388" t="s">
        <v>112</v>
      </c>
      <c r="H388" t="s">
        <v>74</v>
      </c>
      <c r="I388" t="s">
        <v>103</v>
      </c>
      <c r="J388" t="s">
        <v>46</v>
      </c>
      <c r="K388">
        <v>6</v>
      </c>
      <c r="L388" s="3">
        <v>627400</v>
      </c>
      <c r="M388" s="3">
        <v>3071400</v>
      </c>
      <c r="N388" s="3">
        <v>3764400</v>
      </c>
      <c r="O388" s="4">
        <v>0.1</v>
      </c>
      <c r="P388" s="3">
        <v>376440</v>
      </c>
      <c r="Q388" s="3">
        <v>3387960</v>
      </c>
      <c r="R388" s="3">
        <v>316560</v>
      </c>
      <c r="S388" t="s">
        <v>67</v>
      </c>
      <c r="T388" t="s">
        <v>107</v>
      </c>
      <c r="U388" t="s">
        <v>49</v>
      </c>
      <c r="V388" s="5">
        <v>9.343675840328694E-2</v>
      </c>
    </row>
    <row r="389" spans="1:22" x14ac:dyDescent="0.35">
      <c r="A389" t="s">
        <v>917</v>
      </c>
      <c r="B389" s="2">
        <v>45950</v>
      </c>
      <c r="C389" t="s">
        <v>423</v>
      </c>
      <c r="D389" t="s">
        <v>693</v>
      </c>
      <c r="E389" t="s">
        <v>41</v>
      </c>
      <c r="F389" t="s">
        <v>200</v>
      </c>
      <c r="G389" t="s">
        <v>201</v>
      </c>
      <c r="H389" t="s">
        <v>99</v>
      </c>
      <c r="I389" t="s">
        <v>65</v>
      </c>
      <c r="J389" t="s">
        <v>66</v>
      </c>
      <c r="K389">
        <v>1</v>
      </c>
      <c r="L389" s="3">
        <v>152600</v>
      </c>
      <c r="M389" s="3">
        <v>109900</v>
      </c>
      <c r="N389" s="3">
        <v>152600</v>
      </c>
      <c r="O389" s="4">
        <v>0.05</v>
      </c>
      <c r="P389" s="3">
        <v>0</v>
      </c>
      <c r="Q389" s="3">
        <v>0</v>
      </c>
      <c r="R389" s="3">
        <v>0</v>
      </c>
      <c r="S389" t="s">
        <v>47</v>
      </c>
      <c r="T389" t="s">
        <v>107</v>
      </c>
      <c r="U389" t="s">
        <v>127</v>
      </c>
      <c r="V389" s="5">
        <v>0</v>
      </c>
    </row>
    <row r="390" spans="1:22" x14ac:dyDescent="0.35">
      <c r="A390" t="s">
        <v>918</v>
      </c>
      <c r="B390" s="2">
        <v>45951</v>
      </c>
      <c r="C390" t="s">
        <v>486</v>
      </c>
      <c r="D390" t="s">
        <v>543</v>
      </c>
      <c r="E390" t="s">
        <v>61</v>
      </c>
      <c r="F390" t="s">
        <v>72</v>
      </c>
      <c r="G390" t="s">
        <v>73</v>
      </c>
      <c r="H390" t="s">
        <v>74</v>
      </c>
      <c r="I390" t="s">
        <v>156</v>
      </c>
      <c r="J390" t="s">
        <v>91</v>
      </c>
      <c r="K390">
        <v>8</v>
      </c>
      <c r="L390" s="3">
        <v>236600</v>
      </c>
      <c r="M390" s="3">
        <v>1336000</v>
      </c>
      <c r="N390" s="3">
        <v>1892800</v>
      </c>
      <c r="O390" s="4">
        <v>0.02</v>
      </c>
      <c r="P390" s="3">
        <v>37856</v>
      </c>
      <c r="Q390" s="3">
        <v>1854944</v>
      </c>
      <c r="R390" s="3">
        <v>518944</v>
      </c>
      <c r="S390" t="s">
        <v>76</v>
      </c>
      <c r="T390" t="s">
        <v>48</v>
      </c>
      <c r="U390" t="s">
        <v>49</v>
      </c>
      <c r="V390" s="5">
        <v>0.27976262356168158</v>
      </c>
    </row>
    <row r="391" spans="1:22" x14ac:dyDescent="0.35">
      <c r="A391" t="s">
        <v>919</v>
      </c>
      <c r="B391" s="2">
        <v>45951</v>
      </c>
      <c r="C391" t="s">
        <v>920</v>
      </c>
      <c r="D391" t="s">
        <v>438</v>
      </c>
      <c r="E391" t="s">
        <v>41</v>
      </c>
      <c r="F391" t="s">
        <v>42</v>
      </c>
      <c r="G391" t="s">
        <v>43</v>
      </c>
      <c r="H391" t="s">
        <v>44</v>
      </c>
      <c r="I391" t="s">
        <v>45</v>
      </c>
      <c r="J391" t="s">
        <v>46</v>
      </c>
      <c r="K391">
        <v>5</v>
      </c>
      <c r="L391" s="3">
        <v>394700</v>
      </c>
      <c r="M391" s="3">
        <v>1683000</v>
      </c>
      <c r="N391" s="3">
        <v>1973500</v>
      </c>
      <c r="O391" s="4">
        <v>0</v>
      </c>
      <c r="P391" s="3">
        <v>0</v>
      </c>
      <c r="Q391" s="3">
        <v>1973500</v>
      </c>
      <c r="R391" s="3">
        <v>290500</v>
      </c>
      <c r="S391" t="s">
        <v>47</v>
      </c>
      <c r="T391" t="s">
        <v>48</v>
      </c>
      <c r="U391" t="s">
        <v>49</v>
      </c>
      <c r="V391" s="5">
        <v>0.14720040537116799</v>
      </c>
    </row>
    <row r="392" spans="1:22" x14ac:dyDescent="0.35">
      <c r="A392" t="s">
        <v>921</v>
      </c>
      <c r="B392" s="2">
        <v>45951</v>
      </c>
      <c r="C392" t="s">
        <v>148</v>
      </c>
      <c r="D392" t="s">
        <v>586</v>
      </c>
      <c r="E392" t="s">
        <v>41</v>
      </c>
      <c r="F392" t="s">
        <v>42</v>
      </c>
      <c r="G392" t="s">
        <v>43</v>
      </c>
      <c r="H392" t="s">
        <v>44</v>
      </c>
      <c r="I392" t="s">
        <v>45</v>
      </c>
      <c r="J392" t="s">
        <v>46</v>
      </c>
      <c r="K392">
        <v>5</v>
      </c>
      <c r="L392" s="3">
        <v>415300</v>
      </c>
      <c r="M392" s="3">
        <v>1719500</v>
      </c>
      <c r="N392" s="3">
        <v>2076500</v>
      </c>
      <c r="O392" s="4">
        <v>0</v>
      </c>
      <c r="P392" s="3">
        <v>0</v>
      </c>
      <c r="Q392" s="3">
        <v>2076500</v>
      </c>
      <c r="R392" s="3">
        <v>357000</v>
      </c>
      <c r="S392" t="s">
        <v>121</v>
      </c>
      <c r="T392" t="s">
        <v>77</v>
      </c>
      <c r="U392" t="s">
        <v>49</v>
      </c>
      <c r="V392" s="5">
        <v>0.1719239104261979</v>
      </c>
    </row>
    <row r="393" spans="1:22" x14ac:dyDescent="0.35">
      <c r="A393" t="s">
        <v>922</v>
      </c>
      <c r="B393" s="2">
        <v>45951</v>
      </c>
      <c r="C393" t="s">
        <v>923</v>
      </c>
      <c r="D393" t="s">
        <v>635</v>
      </c>
      <c r="E393" t="s">
        <v>61</v>
      </c>
      <c r="F393" t="s">
        <v>42</v>
      </c>
      <c r="G393" t="s">
        <v>43</v>
      </c>
      <c r="H393" t="s">
        <v>44</v>
      </c>
      <c r="I393" t="s">
        <v>156</v>
      </c>
      <c r="J393" t="s">
        <v>91</v>
      </c>
      <c r="K393">
        <v>8</v>
      </c>
      <c r="L393" s="3">
        <v>249200</v>
      </c>
      <c r="M393" s="3">
        <v>1299200</v>
      </c>
      <c r="N393" s="3">
        <v>1993600</v>
      </c>
      <c r="O393" s="4">
        <v>0</v>
      </c>
      <c r="P393" s="3">
        <v>0</v>
      </c>
      <c r="Q393" s="3">
        <v>1993600</v>
      </c>
      <c r="R393" s="3">
        <v>694400</v>
      </c>
      <c r="S393" t="s">
        <v>121</v>
      </c>
      <c r="T393" t="s">
        <v>48</v>
      </c>
      <c r="U393" t="s">
        <v>49</v>
      </c>
      <c r="V393" s="5">
        <v>0.34831460674157311</v>
      </c>
    </row>
    <row r="394" spans="1:22" x14ac:dyDescent="0.35">
      <c r="A394" t="s">
        <v>924</v>
      </c>
      <c r="B394" s="2">
        <v>45952</v>
      </c>
      <c r="C394" t="s">
        <v>513</v>
      </c>
      <c r="D394" t="s">
        <v>925</v>
      </c>
      <c r="E394" t="s">
        <v>41</v>
      </c>
      <c r="F394" t="s">
        <v>195</v>
      </c>
      <c r="G394" t="s">
        <v>195</v>
      </c>
      <c r="H394" t="s">
        <v>196</v>
      </c>
      <c r="I394" t="s">
        <v>90</v>
      </c>
      <c r="J394" t="s">
        <v>91</v>
      </c>
      <c r="K394">
        <v>4</v>
      </c>
      <c r="L394" s="3">
        <v>185400</v>
      </c>
      <c r="M394" s="3">
        <v>506400</v>
      </c>
      <c r="N394" s="3">
        <v>741600</v>
      </c>
      <c r="O394" s="4">
        <v>0</v>
      </c>
      <c r="P394" s="3">
        <v>0</v>
      </c>
      <c r="Q394" s="3">
        <v>741600</v>
      </c>
      <c r="R394" s="3">
        <v>235200</v>
      </c>
      <c r="S394" t="s">
        <v>76</v>
      </c>
      <c r="T394" t="s">
        <v>48</v>
      </c>
      <c r="U394" t="s">
        <v>49</v>
      </c>
      <c r="V394" s="5">
        <v>0.31715210355987061</v>
      </c>
    </row>
    <row r="395" spans="1:22" x14ac:dyDescent="0.35">
      <c r="A395" t="s">
        <v>926</v>
      </c>
      <c r="B395" s="2">
        <v>45955</v>
      </c>
      <c r="C395" t="s">
        <v>101</v>
      </c>
      <c r="D395" t="s">
        <v>927</v>
      </c>
      <c r="E395" t="s">
        <v>41</v>
      </c>
      <c r="F395" t="s">
        <v>72</v>
      </c>
      <c r="G395" t="s">
        <v>73</v>
      </c>
      <c r="H395" t="s">
        <v>74</v>
      </c>
      <c r="I395" t="s">
        <v>75</v>
      </c>
      <c r="J395" t="s">
        <v>56</v>
      </c>
      <c r="K395">
        <v>8</v>
      </c>
      <c r="L395" s="3">
        <v>61200</v>
      </c>
      <c r="M395" s="3">
        <v>332000</v>
      </c>
      <c r="N395" s="3">
        <v>489600</v>
      </c>
      <c r="O395" s="4">
        <v>0</v>
      </c>
      <c r="P395" s="3">
        <v>0</v>
      </c>
      <c r="Q395" s="3">
        <v>489600</v>
      </c>
      <c r="R395" s="3">
        <v>157600</v>
      </c>
      <c r="S395" t="s">
        <v>121</v>
      </c>
      <c r="T395" t="s">
        <v>48</v>
      </c>
      <c r="U395" t="s">
        <v>68</v>
      </c>
      <c r="V395" s="5">
        <v>0.32189542483660127</v>
      </c>
    </row>
    <row r="396" spans="1:22" x14ac:dyDescent="0.35">
      <c r="A396" t="s">
        <v>928</v>
      </c>
      <c r="B396" s="2">
        <v>45955</v>
      </c>
      <c r="C396" t="s">
        <v>929</v>
      </c>
      <c r="D396" t="s">
        <v>844</v>
      </c>
      <c r="E396" t="s">
        <v>41</v>
      </c>
      <c r="F396" t="s">
        <v>62</v>
      </c>
      <c r="G396" t="s">
        <v>63</v>
      </c>
      <c r="H396" t="s">
        <v>64</v>
      </c>
      <c r="I396" t="s">
        <v>103</v>
      </c>
      <c r="J396" t="s">
        <v>46</v>
      </c>
      <c r="K396">
        <v>6</v>
      </c>
      <c r="L396" s="3">
        <v>637300</v>
      </c>
      <c r="M396" s="3">
        <v>3031200</v>
      </c>
      <c r="N396" s="3">
        <v>3823800</v>
      </c>
      <c r="O396" s="4">
        <v>0</v>
      </c>
      <c r="P396" s="3">
        <v>0</v>
      </c>
      <c r="Q396" s="3">
        <v>3823800</v>
      </c>
      <c r="R396" s="3">
        <v>792600</v>
      </c>
      <c r="S396" t="s">
        <v>121</v>
      </c>
      <c r="T396" t="s">
        <v>48</v>
      </c>
      <c r="U396" t="s">
        <v>49</v>
      </c>
      <c r="V396" s="5">
        <v>0.20728071551859409</v>
      </c>
    </row>
    <row r="397" spans="1:22" x14ac:dyDescent="0.35">
      <c r="A397" t="s">
        <v>930</v>
      </c>
      <c r="B397" s="2">
        <v>45956</v>
      </c>
      <c r="C397" t="s">
        <v>51</v>
      </c>
      <c r="D397" t="s">
        <v>743</v>
      </c>
      <c r="E397" t="s">
        <v>61</v>
      </c>
      <c r="F397" t="s">
        <v>72</v>
      </c>
      <c r="G397" t="s">
        <v>73</v>
      </c>
      <c r="H397" t="s">
        <v>74</v>
      </c>
      <c r="I397" t="s">
        <v>55</v>
      </c>
      <c r="J397" t="s">
        <v>56</v>
      </c>
      <c r="K397">
        <v>7</v>
      </c>
      <c r="L397" s="3">
        <v>35100</v>
      </c>
      <c r="M397" s="3">
        <v>151200</v>
      </c>
      <c r="N397" s="3">
        <v>245700</v>
      </c>
      <c r="O397" s="4">
        <v>0.05</v>
      </c>
      <c r="P397" s="3">
        <v>12285</v>
      </c>
      <c r="Q397" s="3">
        <v>233415</v>
      </c>
      <c r="R397" s="3">
        <v>82215</v>
      </c>
      <c r="S397" t="s">
        <v>76</v>
      </c>
      <c r="T397" t="s">
        <v>77</v>
      </c>
      <c r="U397" t="s">
        <v>49</v>
      </c>
      <c r="V397" s="5">
        <v>0.35222672064777327</v>
      </c>
    </row>
    <row r="398" spans="1:22" x14ac:dyDescent="0.35">
      <c r="A398" t="s">
        <v>931</v>
      </c>
      <c r="B398" s="2">
        <v>45957</v>
      </c>
      <c r="C398" t="s">
        <v>281</v>
      </c>
      <c r="D398" t="s">
        <v>932</v>
      </c>
      <c r="E398" t="s">
        <v>61</v>
      </c>
      <c r="F398" t="s">
        <v>125</v>
      </c>
      <c r="G398" t="s">
        <v>126</v>
      </c>
      <c r="H398" t="s">
        <v>64</v>
      </c>
      <c r="I398" t="s">
        <v>55</v>
      </c>
      <c r="J398" t="s">
        <v>56</v>
      </c>
      <c r="K398">
        <v>2</v>
      </c>
      <c r="L398" s="3">
        <v>34200</v>
      </c>
      <c r="M398" s="3">
        <v>42600</v>
      </c>
      <c r="N398" s="3">
        <v>68400</v>
      </c>
      <c r="O398" s="4">
        <v>0.02</v>
      </c>
      <c r="P398" s="3">
        <v>1368</v>
      </c>
      <c r="Q398" s="3">
        <v>67032</v>
      </c>
      <c r="R398" s="3">
        <v>24432</v>
      </c>
      <c r="S398" t="s">
        <v>47</v>
      </c>
      <c r="T398" t="s">
        <v>48</v>
      </c>
      <c r="U398" t="s">
        <v>49</v>
      </c>
      <c r="V398" s="5">
        <v>0.36448263515932688</v>
      </c>
    </row>
    <row r="399" spans="1:22" x14ac:dyDescent="0.35">
      <c r="A399" t="s">
        <v>933</v>
      </c>
      <c r="B399" s="2">
        <v>45958</v>
      </c>
      <c r="C399" t="s">
        <v>934</v>
      </c>
      <c r="D399" t="s">
        <v>935</v>
      </c>
      <c r="E399" t="s">
        <v>61</v>
      </c>
      <c r="F399" t="s">
        <v>125</v>
      </c>
      <c r="G399" t="s">
        <v>126</v>
      </c>
      <c r="H399" t="s">
        <v>64</v>
      </c>
      <c r="I399" t="s">
        <v>120</v>
      </c>
      <c r="J399" t="s">
        <v>56</v>
      </c>
      <c r="K399">
        <v>4</v>
      </c>
      <c r="L399" s="3">
        <v>79700</v>
      </c>
      <c r="M399" s="3">
        <v>214400</v>
      </c>
      <c r="N399" s="3">
        <v>318800</v>
      </c>
      <c r="O399" s="4">
        <v>0.1</v>
      </c>
      <c r="P399" s="3">
        <v>31880</v>
      </c>
      <c r="Q399" s="3">
        <v>286920</v>
      </c>
      <c r="R399" s="3">
        <v>72520</v>
      </c>
      <c r="S399" t="s">
        <v>121</v>
      </c>
      <c r="T399" t="s">
        <v>48</v>
      </c>
      <c r="U399" t="s">
        <v>49</v>
      </c>
      <c r="V399" s="5">
        <v>0.25275338073330539</v>
      </c>
    </row>
    <row r="400" spans="1:22" x14ac:dyDescent="0.35">
      <c r="A400" t="s">
        <v>936</v>
      </c>
      <c r="B400" s="2">
        <v>45958</v>
      </c>
      <c r="C400" t="s">
        <v>39</v>
      </c>
      <c r="D400" t="s">
        <v>937</v>
      </c>
      <c r="E400" t="s">
        <v>61</v>
      </c>
      <c r="F400" t="s">
        <v>111</v>
      </c>
      <c r="G400" t="s">
        <v>112</v>
      </c>
      <c r="H400" t="s">
        <v>74</v>
      </c>
      <c r="I400" t="s">
        <v>75</v>
      </c>
      <c r="J400" t="s">
        <v>56</v>
      </c>
      <c r="K400">
        <v>4</v>
      </c>
      <c r="L400" s="3">
        <v>69000</v>
      </c>
      <c r="M400" s="3">
        <v>170400</v>
      </c>
      <c r="N400" s="3">
        <v>276000</v>
      </c>
      <c r="O400" s="4">
        <v>0</v>
      </c>
      <c r="P400" s="3">
        <v>0</v>
      </c>
      <c r="Q400" s="3">
        <v>276000</v>
      </c>
      <c r="R400" s="3">
        <v>105600</v>
      </c>
      <c r="S400" t="s">
        <v>121</v>
      </c>
      <c r="T400" t="s">
        <v>48</v>
      </c>
      <c r="U400" t="s">
        <v>49</v>
      </c>
      <c r="V400" s="5">
        <v>0.38260869565217392</v>
      </c>
    </row>
    <row r="401" spans="1:22" x14ac:dyDescent="0.35">
      <c r="A401" t="s">
        <v>938</v>
      </c>
      <c r="B401" s="2">
        <v>45959</v>
      </c>
      <c r="C401" t="s">
        <v>939</v>
      </c>
      <c r="D401" t="s">
        <v>815</v>
      </c>
      <c r="E401" t="s">
        <v>41</v>
      </c>
      <c r="F401" t="s">
        <v>53</v>
      </c>
      <c r="G401" t="s">
        <v>54</v>
      </c>
      <c r="H401" t="s">
        <v>44</v>
      </c>
      <c r="I401" t="s">
        <v>113</v>
      </c>
      <c r="J401" t="s">
        <v>66</v>
      </c>
      <c r="K401">
        <v>7</v>
      </c>
      <c r="L401" s="3">
        <v>199400</v>
      </c>
      <c r="M401" s="3">
        <v>1040200</v>
      </c>
      <c r="N401" s="3">
        <v>1395800</v>
      </c>
      <c r="O401" s="4">
        <v>0.08</v>
      </c>
      <c r="P401" s="3">
        <v>111664</v>
      </c>
      <c r="Q401" s="3">
        <v>1284136</v>
      </c>
      <c r="R401" s="3">
        <v>243936</v>
      </c>
      <c r="S401" t="s">
        <v>57</v>
      </c>
      <c r="T401" t="s">
        <v>107</v>
      </c>
      <c r="U401" t="s">
        <v>49</v>
      </c>
      <c r="V401" s="5">
        <v>0.1899611879115608</v>
      </c>
    </row>
    <row r="402" spans="1:22" x14ac:dyDescent="0.35">
      <c r="A402" t="s">
        <v>940</v>
      </c>
      <c r="B402" s="2">
        <v>45959</v>
      </c>
      <c r="C402" t="s">
        <v>321</v>
      </c>
      <c r="D402" t="s">
        <v>718</v>
      </c>
      <c r="E402" t="s">
        <v>41</v>
      </c>
      <c r="F402" t="s">
        <v>98</v>
      </c>
      <c r="G402" t="s">
        <v>98</v>
      </c>
      <c r="H402" t="s">
        <v>99</v>
      </c>
      <c r="I402" t="s">
        <v>103</v>
      </c>
      <c r="J402" t="s">
        <v>46</v>
      </c>
      <c r="K402">
        <v>7</v>
      </c>
      <c r="L402" s="3">
        <v>626200</v>
      </c>
      <c r="M402" s="3">
        <v>3523100</v>
      </c>
      <c r="N402" s="3">
        <v>4383400</v>
      </c>
      <c r="O402" s="4">
        <v>0.05</v>
      </c>
      <c r="P402" s="3">
        <v>219170</v>
      </c>
      <c r="Q402" s="3">
        <v>4164230</v>
      </c>
      <c r="R402" s="3">
        <v>641130</v>
      </c>
      <c r="S402" t="s">
        <v>67</v>
      </c>
      <c r="T402" t="s">
        <v>48</v>
      </c>
      <c r="U402" t="s">
        <v>49</v>
      </c>
      <c r="V402" s="5">
        <v>0.1539612365311234</v>
      </c>
    </row>
    <row r="403" spans="1:22" x14ac:dyDescent="0.35">
      <c r="A403" t="s">
        <v>941</v>
      </c>
      <c r="B403" s="2">
        <v>45960</v>
      </c>
      <c r="C403" t="s">
        <v>142</v>
      </c>
      <c r="D403" t="s">
        <v>275</v>
      </c>
      <c r="E403" t="s">
        <v>41</v>
      </c>
      <c r="F403" t="s">
        <v>73</v>
      </c>
      <c r="G403" t="s">
        <v>73</v>
      </c>
      <c r="H403" t="s">
        <v>74</v>
      </c>
      <c r="I403" t="s">
        <v>120</v>
      </c>
      <c r="J403" t="s">
        <v>56</v>
      </c>
      <c r="K403">
        <v>5</v>
      </c>
      <c r="L403" s="3">
        <v>84600</v>
      </c>
      <c r="M403" s="3">
        <v>261000</v>
      </c>
      <c r="N403" s="3">
        <v>423000</v>
      </c>
      <c r="O403" s="4">
        <v>0.02</v>
      </c>
      <c r="P403" s="3">
        <v>8460</v>
      </c>
      <c r="Q403" s="3">
        <v>414540</v>
      </c>
      <c r="R403" s="3">
        <v>153540</v>
      </c>
      <c r="S403" t="s">
        <v>47</v>
      </c>
      <c r="T403" t="s">
        <v>77</v>
      </c>
      <c r="U403" t="s">
        <v>49</v>
      </c>
      <c r="V403" s="5">
        <v>0.37038645245332169</v>
      </c>
    </row>
    <row r="404" spans="1:22" x14ac:dyDescent="0.35">
      <c r="A404" t="s">
        <v>942</v>
      </c>
      <c r="B404" s="2">
        <v>45961</v>
      </c>
      <c r="C404" t="s">
        <v>158</v>
      </c>
      <c r="D404" t="s">
        <v>657</v>
      </c>
      <c r="E404" t="s">
        <v>41</v>
      </c>
      <c r="F404" t="s">
        <v>195</v>
      </c>
      <c r="G404" t="s">
        <v>195</v>
      </c>
      <c r="H404" t="s">
        <v>196</v>
      </c>
      <c r="I404" t="s">
        <v>140</v>
      </c>
      <c r="J404" t="s">
        <v>46</v>
      </c>
      <c r="K404">
        <v>5</v>
      </c>
      <c r="L404" s="3">
        <v>297900</v>
      </c>
      <c r="M404" s="3">
        <v>1086500</v>
      </c>
      <c r="N404" s="3">
        <v>1489500</v>
      </c>
      <c r="O404" s="4">
        <v>0</v>
      </c>
      <c r="P404" s="3">
        <v>0</v>
      </c>
      <c r="Q404" s="3">
        <v>1489500</v>
      </c>
      <c r="R404" s="3">
        <v>403000</v>
      </c>
      <c r="S404" t="s">
        <v>76</v>
      </c>
      <c r="T404" t="s">
        <v>77</v>
      </c>
      <c r="U404" t="s">
        <v>49</v>
      </c>
      <c r="V404" s="5">
        <v>0.27056059080228262</v>
      </c>
    </row>
    <row r="405" spans="1:22" x14ac:dyDescent="0.35">
      <c r="A405" t="s">
        <v>943</v>
      </c>
      <c r="B405" s="2">
        <v>45962</v>
      </c>
      <c r="C405" t="s">
        <v>455</v>
      </c>
      <c r="D405" t="s">
        <v>251</v>
      </c>
      <c r="E405" t="s">
        <v>41</v>
      </c>
      <c r="F405" t="s">
        <v>168</v>
      </c>
      <c r="G405" t="s">
        <v>169</v>
      </c>
      <c r="H405" t="s">
        <v>74</v>
      </c>
      <c r="I405" t="s">
        <v>90</v>
      </c>
      <c r="J405" t="s">
        <v>91</v>
      </c>
      <c r="K405">
        <v>1</v>
      </c>
      <c r="L405" s="3">
        <v>176700</v>
      </c>
      <c r="M405" s="3">
        <v>123400</v>
      </c>
      <c r="N405" s="3">
        <v>176700</v>
      </c>
      <c r="O405" s="4">
        <v>0.02</v>
      </c>
      <c r="P405" s="3">
        <v>3534</v>
      </c>
      <c r="Q405" s="3">
        <v>173166</v>
      </c>
      <c r="R405" s="3">
        <v>49766</v>
      </c>
      <c r="S405" t="s">
        <v>76</v>
      </c>
      <c r="T405" t="s">
        <v>48</v>
      </c>
      <c r="U405" t="s">
        <v>49</v>
      </c>
      <c r="V405" s="5">
        <v>0.28738897936084451</v>
      </c>
    </row>
    <row r="406" spans="1:22" x14ac:dyDescent="0.35">
      <c r="A406" t="s">
        <v>944</v>
      </c>
      <c r="B406" s="2">
        <v>45963</v>
      </c>
      <c r="C406" t="s">
        <v>93</v>
      </c>
      <c r="D406" t="s">
        <v>670</v>
      </c>
      <c r="E406" t="s">
        <v>41</v>
      </c>
      <c r="F406" t="s">
        <v>195</v>
      </c>
      <c r="G406" t="s">
        <v>195</v>
      </c>
      <c r="H406" t="s">
        <v>196</v>
      </c>
      <c r="I406" t="s">
        <v>45</v>
      </c>
      <c r="J406" t="s">
        <v>46</v>
      </c>
      <c r="K406">
        <v>5</v>
      </c>
      <c r="L406" s="3">
        <v>430600</v>
      </c>
      <c r="M406" s="3">
        <v>1666500</v>
      </c>
      <c r="N406" s="3">
        <v>2153000</v>
      </c>
      <c r="O406" s="4">
        <v>0</v>
      </c>
      <c r="P406" s="3">
        <v>0</v>
      </c>
      <c r="Q406" s="3">
        <v>2153000</v>
      </c>
      <c r="R406" s="3">
        <v>486500</v>
      </c>
      <c r="S406" t="s">
        <v>67</v>
      </c>
      <c r="T406" t="s">
        <v>48</v>
      </c>
      <c r="U406" t="s">
        <v>49</v>
      </c>
      <c r="V406" s="5">
        <v>0.2259637714816535</v>
      </c>
    </row>
    <row r="407" spans="1:22" x14ac:dyDescent="0.35">
      <c r="A407" t="s">
        <v>945</v>
      </c>
      <c r="B407" s="2">
        <v>45964</v>
      </c>
      <c r="C407" t="s">
        <v>946</v>
      </c>
      <c r="D407" t="s">
        <v>825</v>
      </c>
      <c r="E407" t="s">
        <v>41</v>
      </c>
      <c r="F407" t="s">
        <v>42</v>
      </c>
      <c r="G407" t="s">
        <v>43</v>
      </c>
      <c r="H407" t="s">
        <v>44</v>
      </c>
      <c r="I407" t="s">
        <v>103</v>
      </c>
      <c r="J407" t="s">
        <v>46</v>
      </c>
      <c r="K407">
        <v>3</v>
      </c>
      <c r="L407" s="3">
        <v>634900</v>
      </c>
      <c r="M407" s="3">
        <v>1615200</v>
      </c>
      <c r="N407" s="3">
        <v>1904700</v>
      </c>
      <c r="O407" s="4">
        <v>0.05</v>
      </c>
      <c r="P407" s="3">
        <v>95235</v>
      </c>
      <c r="Q407" s="3">
        <v>1809465</v>
      </c>
      <c r="R407" s="3">
        <v>194265</v>
      </c>
      <c r="S407" t="s">
        <v>47</v>
      </c>
      <c r="T407" t="s">
        <v>48</v>
      </c>
      <c r="U407" t="s">
        <v>49</v>
      </c>
      <c r="V407" s="5">
        <v>0.1073604628992548</v>
      </c>
    </row>
    <row r="408" spans="1:22" x14ac:dyDescent="0.35">
      <c r="A408" t="s">
        <v>947</v>
      </c>
      <c r="B408" s="2">
        <v>45965</v>
      </c>
      <c r="C408" t="s">
        <v>888</v>
      </c>
      <c r="D408" t="s">
        <v>948</v>
      </c>
      <c r="E408" t="s">
        <v>41</v>
      </c>
      <c r="F408" t="s">
        <v>53</v>
      </c>
      <c r="G408" t="s">
        <v>54</v>
      </c>
      <c r="H408" t="s">
        <v>44</v>
      </c>
      <c r="I408" t="s">
        <v>140</v>
      </c>
      <c r="J408" t="s">
        <v>46</v>
      </c>
      <c r="K408">
        <v>2</v>
      </c>
      <c r="L408" s="3">
        <v>273000</v>
      </c>
      <c r="M408" s="3">
        <v>431200</v>
      </c>
      <c r="N408" s="3">
        <v>546000</v>
      </c>
      <c r="O408" s="4">
        <v>0</v>
      </c>
      <c r="P408" s="3">
        <v>0</v>
      </c>
      <c r="Q408" s="3">
        <v>546000</v>
      </c>
      <c r="R408" s="3">
        <v>114800</v>
      </c>
      <c r="S408" t="s">
        <v>47</v>
      </c>
      <c r="T408" t="s">
        <v>48</v>
      </c>
      <c r="U408" t="s">
        <v>49</v>
      </c>
      <c r="V408" s="5">
        <v>0.21025641025641029</v>
      </c>
    </row>
    <row r="409" spans="1:22" x14ac:dyDescent="0.35">
      <c r="A409" t="s">
        <v>949</v>
      </c>
      <c r="B409" s="2">
        <v>45965</v>
      </c>
      <c r="C409" t="s">
        <v>695</v>
      </c>
      <c r="D409" t="s">
        <v>865</v>
      </c>
      <c r="E409" t="s">
        <v>41</v>
      </c>
      <c r="F409" t="s">
        <v>73</v>
      </c>
      <c r="G409" t="s">
        <v>73</v>
      </c>
      <c r="H409" t="s">
        <v>74</v>
      </c>
      <c r="I409" t="s">
        <v>45</v>
      </c>
      <c r="J409" t="s">
        <v>46</v>
      </c>
      <c r="K409">
        <v>1</v>
      </c>
      <c r="L409" s="3">
        <v>398500</v>
      </c>
      <c r="M409" s="3">
        <v>328600</v>
      </c>
      <c r="N409" s="3">
        <v>398500</v>
      </c>
      <c r="O409" s="4">
        <v>0.02</v>
      </c>
      <c r="P409" s="3">
        <v>7970</v>
      </c>
      <c r="Q409" s="3">
        <v>390530</v>
      </c>
      <c r="R409" s="3">
        <v>61930</v>
      </c>
      <c r="S409" t="s">
        <v>47</v>
      </c>
      <c r="T409" t="s">
        <v>77</v>
      </c>
      <c r="U409" t="s">
        <v>49</v>
      </c>
      <c r="V409" s="5">
        <v>0.1585793665019333</v>
      </c>
    </row>
    <row r="410" spans="1:22" x14ac:dyDescent="0.35">
      <c r="A410" t="s">
        <v>950</v>
      </c>
      <c r="B410" s="2">
        <v>45965</v>
      </c>
      <c r="C410" t="s">
        <v>951</v>
      </c>
      <c r="D410" t="s">
        <v>319</v>
      </c>
      <c r="E410" t="s">
        <v>41</v>
      </c>
      <c r="F410" t="s">
        <v>73</v>
      </c>
      <c r="G410" t="s">
        <v>73</v>
      </c>
      <c r="H410" t="s">
        <v>74</v>
      </c>
      <c r="I410" t="s">
        <v>131</v>
      </c>
      <c r="J410" t="s">
        <v>91</v>
      </c>
      <c r="K410">
        <v>8</v>
      </c>
      <c r="L410" s="3">
        <v>117000</v>
      </c>
      <c r="M410" s="3">
        <v>620800</v>
      </c>
      <c r="N410" s="3">
        <v>936000</v>
      </c>
      <c r="O410" s="4">
        <v>0.05</v>
      </c>
      <c r="P410" s="3">
        <v>46800</v>
      </c>
      <c r="Q410" s="3">
        <v>889200</v>
      </c>
      <c r="R410" s="3">
        <v>268400</v>
      </c>
      <c r="S410" t="s">
        <v>76</v>
      </c>
      <c r="T410" t="s">
        <v>107</v>
      </c>
      <c r="U410" t="s">
        <v>49</v>
      </c>
      <c r="V410" s="5">
        <v>0.30184435447593339</v>
      </c>
    </row>
    <row r="411" spans="1:22" x14ac:dyDescent="0.35">
      <c r="A411" t="s">
        <v>952</v>
      </c>
      <c r="B411" s="2">
        <v>45966</v>
      </c>
      <c r="C411" t="s">
        <v>604</v>
      </c>
      <c r="D411" t="s">
        <v>953</v>
      </c>
      <c r="E411" t="s">
        <v>41</v>
      </c>
      <c r="F411" t="s">
        <v>195</v>
      </c>
      <c r="G411" t="s">
        <v>195</v>
      </c>
      <c r="H411" t="s">
        <v>196</v>
      </c>
      <c r="I411" t="s">
        <v>75</v>
      </c>
      <c r="J411" t="s">
        <v>56</v>
      </c>
      <c r="K411">
        <v>7</v>
      </c>
      <c r="L411" s="3">
        <v>64300</v>
      </c>
      <c r="M411" s="3">
        <v>296800</v>
      </c>
      <c r="N411" s="3">
        <v>450100</v>
      </c>
      <c r="O411" s="4">
        <v>0.05</v>
      </c>
      <c r="P411" s="3">
        <v>22505</v>
      </c>
      <c r="Q411" s="3">
        <v>427595</v>
      </c>
      <c r="R411" s="3">
        <v>130795</v>
      </c>
      <c r="S411" t="s">
        <v>67</v>
      </c>
      <c r="T411" t="s">
        <v>48</v>
      </c>
      <c r="U411" t="s">
        <v>49</v>
      </c>
      <c r="V411" s="5">
        <v>0.3058852418760743</v>
      </c>
    </row>
    <row r="412" spans="1:22" x14ac:dyDescent="0.35">
      <c r="A412" t="s">
        <v>954</v>
      </c>
      <c r="B412" s="2">
        <v>45967</v>
      </c>
      <c r="C412" t="s">
        <v>637</v>
      </c>
      <c r="D412" t="s">
        <v>955</v>
      </c>
      <c r="E412" t="s">
        <v>61</v>
      </c>
      <c r="F412" t="s">
        <v>73</v>
      </c>
      <c r="G412" t="s">
        <v>73</v>
      </c>
      <c r="H412" t="s">
        <v>74</v>
      </c>
      <c r="I412" t="s">
        <v>120</v>
      </c>
      <c r="J412" t="s">
        <v>56</v>
      </c>
      <c r="K412">
        <v>2</v>
      </c>
      <c r="L412" s="3">
        <v>83700</v>
      </c>
      <c r="M412" s="3">
        <v>106200</v>
      </c>
      <c r="N412" s="3">
        <v>167400</v>
      </c>
      <c r="O412" s="4">
        <v>0</v>
      </c>
      <c r="P412" s="3">
        <v>0</v>
      </c>
      <c r="Q412" s="3">
        <v>167400</v>
      </c>
      <c r="R412" s="3">
        <v>61200</v>
      </c>
      <c r="S412" t="s">
        <v>76</v>
      </c>
      <c r="T412" t="s">
        <v>48</v>
      </c>
      <c r="U412" t="s">
        <v>49</v>
      </c>
      <c r="V412" s="5">
        <v>0.36559139784946237</v>
      </c>
    </row>
    <row r="413" spans="1:22" x14ac:dyDescent="0.35">
      <c r="A413" t="s">
        <v>956</v>
      </c>
      <c r="B413" s="2">
        <v>45967</v>
      </c>
      <c r="C413" t="s">
        <v>418</v>
      </c>
      <c r="D413" t="s">
        <v>957</v>
      </c>
      <c r="E413" t="s">
        <v>61</v>
      </c>
      <c r="F413" t="s">
        <v>72</v>
      </c>
      <c r="G413" t="s">
        <v>73</v>
      </c>
      <c r="H413" t="s">
        <v>74</v>
      </c>
      <c r="I413" t="s">
        <v>113</v>
      </c>
      <c r="J413" t="s">
        <v>66</v>
      </c>
      <c r="K413">
        <v>1</v>
      </c>
      <c r="L413" s="3">
        <v>218200</v>
      </c>
      <c r="M413" s="3">
        <v>144800</v>
      </c>
      <c r="N413" s="3">
        <v>218200</v>
      </c>
      <c r="O413" s="4">
        <v>0</v>
      </c>
      <c r="P413" s="3">
        <v>0</v>
      </c>
      <c r="Q413" s="3">
        <v>218200</v>
      </c>
      <c r="R413" s="3">
        <v>73400</v>
      </c>
      <c r="S413" t="s">
        <v>47</v>
      </c>
      <c r="T413" t="s">
        <v>48</v>
      </c>
      <c r="U413" t="s">
        <v>49</v>
      </c>
      <c r="V413" s="5">
        <v>0.33638863428047661</v>
      </c>
    </row>
    <row r="414" spans="1:22" x14ac:dyDescent="0.35">
      <c r="A414" t="s">
        <v>958</v>
      </c>
      <c r="B414" s="2">
        <v>45967</v>
      </c>
      <c r="C414" t="s">
        <v>279</v>
      </c>
      <c r="D414" t="s">
        <v>94</v>
      </c>
      <c r="E414" t="s">
        <v>61</v>
      </c>
      <c r="F414" t="s">
        <v>53</v>
      </c>
      <c r="G414" t="s">
        <v>54</v>
      </c>
      <c r="H414" t="s">
        <v>44</v>
      </c>
      <c r="I414" t="s">
        <v>75</v>
      </c>
      <c r="J414" t="s">
        <v>56</v>
      </c>
      <c r="K414">
        <v>2</v>
      </c>
      <c r="L414" s="3">
        <v>60000</v>
      </c>
      <c r="M414" s="3">
        <v>82600</v>
      </c>
      <c r="N414" s="3">
        <v>120000</v>
      </c>
      <c r="O414" s="4">
        <v>0.02</v>
      </c>
      <c r="P414" s="3">
        <v>2400</v>
      </c>
      <c r="Q414" s="3">
        <v>117600</v>
      </c>
      <c r="R414" s="3">
        <v>35000</v>
      </c>
      <c r="S414" t="s">
        <v>121</v>
      </c>
      <c r="T414" t="s">
        <v>48</v>
      </c>
      <c r="U414" t="s">
        <v>49</v>
      </c>
      <c r="V414" s="5">
        <v>0.29761904761904762</v>
      </c>
    </row>
    <row r="415" spans="1:22" x14ac:dyDescent="0.35">
      <c r="A415" t="s">
        <v>959</v>
      </c>
      <c r="B415" s="2">
        <v>45967</v>
      </c>
      <c r="C415" t="s">
        <v>560</v>
      </c>
      <c r="D415" t="s">
        <v>960</v>
      </c>
      <c r="E415" t="s">
        <v>41</v>
      </c>
      <c r="F415" t="s">
        <v>111</v>
      </c>
      <c r="G415" t="s">
        <v>112</v>
      </c>
      <c r="H415" t="s">
        <v>74</v>
      </c>
      <c r="I415" t="s">
        <v>103</v>
      </c>
      <c r="J415" t="s">
        <v>46</v>
      </c>
      <c r="K415">
        <v>7</v>
      </c>
      <c r="L415" s="3">
        <v>690100</v>
      </c>
      <c r="M415" s="3">
        <v>3558800</v>
      </c>
      <c r="N415" s="3">
        <v>4830700</v>
      </c>
      <c r="O415" s="4">
        <v>0.05</v>
      </c>
      <c r="P415" s="3">
        <v>241535</v>
      </c>
      <c r="Q415" s="3">
        <v>4589165</v>
      </c>
      <c r="R415" s="3">
        <v>1030365</v>
      </c>
      <c r="S415" t="s">
        <v>57</v>
      </c>
      <c r="T415" t="s">
        <v>48</v>
      </c>
      <c r="U415" t="s">
        <v>68</v>
      </c>
      <c r="V415" s="5">
        <v>0.22452123643407901</v>
      </c>
    </row>
    <row r="416" spans="1:22" x14ac:dyDescent="0.35">
      <c r="A416" t="s">
        <v>961</v>
      </c>
      <c r="B416" s="2">
        <v>45967</v>
      </c>
      <c r="C416" t="s">
        <v>758</v>
      </c>
      <c r="D416" t="s">
        <v>962</v>
      </c>
      <c r="E416" t="s">
        <v>41</v>
      </c>
      <c r="F416" t="s">
        <v>111</v>
      </c>
      <c r="G416" t="s">
        <v>112</v>
      </c>
      <c r="H416" t="s">
        <v>74</v>
      </c>
      <c r="I416" t="s">
        <v>55</v>
      </c>
      <c r="J416" t="s">
        <v>56</v>
      </c>
      <c r="K416">
        <v>2</v>
      </c>
      <c r="L416" s="3">
        <v>35900</v>
      </c>
      <c r="M416" s="3">
        <v>41800</v>
      </c>
      <c r="N416" s="3">
        <v>71800</v>
      </c>
      <c r="O416" s="4">
        <v>0.05</v>
      </c>
      <c r="P416" s="3">
        <v>3590</v>
      </c>
      <c r="Q416" s="3">
        <v>68210</v>
      </c>
      <c r="R416" s="3">
        <v>26410</v>
      </c>
      <c r="S416" t="s">
        <v>57</v>
      </c>
      <c r="T416" t="s">
        <v>48</v>
      </c>
      <c r="U416" t="s">
        <v>49</v>
      </c>
      <c r="V416" s="5">
        <v>0.38718662952646238</v>
      </c>
    </row>
    <row r="417" spans="1:22" x14ac:dyDescent="0.35">
      <c r="A417" t="s">
        <v>963</v>
      </c>
      <c r="B417" s="2">
        <v>45968</v>
      </c>
      <c r="C417" t="s">
        <v>447</v>
      </c>
      <c r="D417" t="s">
        <v>601</v>
      </c>
      <c r="E417" t="s">
        <v>61</v>
      </c>
      <c r="F417" t="s">
        <v>42</v>
      </c>
      <c r="G417" t="s">
        <v>43</v>
      </c>
      <c r="H417" t="s">
        <v>44</v>
      </c>
      <c r="I417" t="s">
        <v>156</v>
      </c>
      <c r="J417" t="s">
        <v>91</v>
      </c>
      <c r="K417">
        <v>6</v>
      </c>
      <c r="L417" s="3">
        <v>242700</v>
      </c>
      <c r="M417" s="3">
        <v>970800</v>
      </c>
      <c r="N417" s="3">
        <v>1456200</v>
      </c>
      <c r="O417" s="4">
        <v>0</v>
      </c>
      <c r="P417" s="3">
        <v>0</v>
      </c>
      <c r="Q417" s="3">
        <v>1456200</v>
      </c>
      <c r="R417" s="3">
        <v>485400</v>
      </c>
      <c r="S417" t="s">
        <v>76</v>
      </c>
      <c r="T417" t="s">
        <v>107</v>
      </c>
      <c r="U417" t="s">
        <v>49</v>
      </c>
      <c r="V417" s="5">
        <v>0.33333333333333331</v>
      </c>
    </row>
    <row r="418" spans="1:22" x14ac:dyDescent="0.35">
      <c r="A418" t="s">
        <v>964</v>
      </c>
      <c r="B418" s="2">
        <v>45968</v>
      </c>
      <c r="C418" t="s">
        <v>188</v>
      </c>
      <c r="D418" t="s">
        <v>216</v>
      </c>
      <c r="E418" t="s">
        <v>61</v>
      </c>
      <c r="F418" t="s">
        <v>73</v>
      </c>
      <c r="G418" t="s">
        <v>73</v>
      </c>
      <c r="H418" t="s">
        <v>74</v>
      </c>
      <c r="I418" t="s">
        <v>75</v>
      </c>
      <c r="J418" t="s">
        <v>56</v>
      </c>
      <c r="K418">
        <v>8</v>
      </c>
      <c r="L418" s="3">
        <v>68400</v>
      </c>
      <c r="M418" s="3">
        <v>344000</v>
      </c>
      <c r="N418" s="3">
        <v>547200</v>
      </c>
      <c r="O418" s="4">
        <v>0</v>
      </c>
      <c r="P418" s="3">
        <v>0</v>
      </c>
      <c r="Q418" s="3">
        <v>547200</v>
      </c>
      <c r="R418" s="3">
        <v>203200</v>
      </c>
      <c r="S418" t="s">
        <v>47</v>
      </c>
      <c r="T418" t="s">
        <v>77</v>
      </c>
      <c r="U418" t="s">
        <v>49</v>
      </c>
      <c r="V418" s="5">
        <v>0.37134502923976609</v>
      </c>
    </row>
    <row r="419" spans="1:22" x14ac:dyDescent="0.35">
      <c r="A419" t="s">
        <v>965</v>
      </c>
      <c r="B419" s="2">
        <v>45970</v>
      </c>
      <c r="C419" t="s">
        <v>966</v>
      </c>
      <c r="D419" t="s">
        <v>459</v>
      </c>
      <c r="E419" t="s">
        <v>61</v>
      </c>
      <c r="F419" t="s">
        <v>98</v>
      </c>
      <c r="G419" t="s">
        <v>98</v>
      </c>
      <c r="H419" t="s">
        <v>99</v>
      </c>
      <c r="I419" t="s">
        <v>75</v>
      </c>
      <c r="J419" t="s">
        <v>56</v>
      </c>
      <c r="K419">
        <v>6</v>
      </c>
      <c r="L419" s="3">
        <v>61900</v>
      </c>
      <c r="M419" s="3">
        <v>259800</v>
      </c>
      <c r="N419" s="3">
        <v>371400</v>
      </c>
      <c r="O419" s="4">
        <v>0</v>
      </c>
      <c r="P419" s="3">
        <v>0</v>
      </c>
      <c r="Q419" s="3">
        <v>371400</v>
      </c>
      <c r="R419" s="3">
        <v>111600</v>
      </c>
      <c r="S419" t="s">
        <v>121</v>
      </c>
      <c r="T419" t="s">
        <v>48</v>
      </c>
      <c r="U419" t="s">
        <v>49</v>
      </c>
      <c r="V419" s="5">
        <v>0.30048465266558971</v>
      </c>
    </row>
    <row r="420" spans="1:22" x14ac:dyDescent="0.35">
      <c r="A420" t="s">
        <v>967</v>
      </c>
      <c r="B420" s="2">
        <v>45970</v>
      </c>
      <c r="C420" t="s">
        <v>939</v>
      </c>
      <c r="D420" t="s">
        <v>968</v>
      </c>
      <c r="E420" t="s">
        <v>61</v>
      </c>
      <c r="F420" t="s">
        <v>125</v>
      </c>
      <c r="G420" t="s">
        <v>126</v>
      </c>
      <c r="H420" t="s">
        <v>64</v>
      </c>
      <c r="I420" t="s">
        <v>120</v>
      </c>
      <c r="J420" t="s">
        <v>56</v>
      </c>
      <c r="K420">
        <v>1</v>
      </c>
      <c r="L420" s="3">
        <v>81400</v>
      </c>
      <c r="M420" s="3">
        <v>51900</v>
      </c>
      <c r="N420" s="3">
        <v>81400</v>
      </c>
      <c r="O420" s="4">
        <v>0</v>
      </c>
      <c r="P420" s="3">
        <v>0</v>
      </c>
      <c r="Q420" s="3">
        <v>81400</v>
      </c>
      <c r="R420" s="3">
        <v>29500</v>
      </c>
      <c r="S420" t="s">
        <v>67</v>
      </c>
      <c r="T420" t="s">
        <v>77</v>
      </c>
      <c r="U420" t="s">
        <v>49</v>
      </c>
      <c r="V420" s="5">
        <v>0.36240786240786238</v>
      </c>
    </row>
    <row r="421" spans="1:22" x14ac:dyDescent="0.35">
      <c r="A421" t="s">
        <v>969</v>
      </c>
      <c r="B421" s="2">
        <v>45971</v>
      </c>
      <c r="C421" t="s">
        <v>312</v>
      </c>
      <c r="D421" t="s">
        <v>482</v>
      </c>
      <c r="E421" t="s">
        <v>61</v>
      </c>
      <c r="F421" t="s">
        <v>72</v>
      </c>
      <c r="G421" t="s">
        <v>73</v>
      </c>
      <c r="H421" t="s">
        <v>74</v>
      </c>
      <c r="I421" t="s">
        <v>90</v>
      </c>
      <c r="J421" t="s">
        <v>91</v>
      </c>
      <c r="K421">
        <v>1</v>
      </c>
      <c r="L421" s="3">
        <v>176400</v>
      </c>
      <c r="M421" s="3">
        <v>125400</v>
      </c>
      <c r="N421" s="3">
        <v>176400</v>
      </c>
      <c r="O421" s="4">
        <v>0.02</v>
      </c>
      <c r="P421" s="3">
        <v>3528</v>
      </c>
      <c r="Q421" s="3">
        <v>172872</v>
      </c>
      <c r="R421" s="3">
        <v>47472</v>
      </c>
      <c r="S421" t="s">
        <v>121</v>
      </c>
      <c r="T421" t="s">
        <v>77</v>
      </c>
      <c r="U421" t="s">
        <v>49</v>
      </c>
      <c r="V421" s="5">
        <v>0.27460780230459531</v>
      </c>
    </row>
    <row r="422" spans="1:22" x14ac:dyDescent="0.35">
      <c r="A422" t="s">
        <v>970</v>
      </c>
      <c r="B422" s="2">
        <v>45972</v>
      </c>
      <c r="C422" t="s">
        <v>198</v>
      </c>
      <c r="D422" t="s">
        <v>829</v>
      </c>
      <c r="E422" t="s">
        <v>41</v>
      </c>
      <c r="F422" t="s">
        <v>42</v>
      </c>
      <c r="G422" t="s">
        <v>43</v>
      </c>
      <c r="H422" t="s">
        <v>44</v>
      </c>
      <c r="I422" t="s">
        <v>120</v>
      </c>
      <c r="J422" t="s">
        <v>56</v>
      </c>
      <c r="K422">
        <v>1</v>
      </c>
      <c r="L422" s="3">
        <v>82800</v>
      </c>
      <c r="M422" s="3">
        <v>53700</v>
      </c>
      <c r="N422" s="3">
        <v>82800</v>
      </c>
      <c r="O422" s="4">
        <v>0.05</v>
      </c>
      <c r="P422" s="3">
        <v>4140</v>
      </c>
      <c r="Q422" s="3">
        <v>78660</v>
      </c>
      <c r="R422" s="3">
        <v>24960</v>
      </c>
      <c r="S422" t="s">
        <v>47</v>
      </c>
      <c r="T422" t="s">
        <v>48</v>
      </c>
      <c r="U422" t="s">
        <v>49</v>
      </c>
      <c r="V422" s="5">
        <v>0.3173150266971777</v>
      </c>
    </row>
    <row r="423" spans="1:22" x14ac:dyDescent="0.35">
      <c r="A423" t="s">
        <v>971</v>
      </c>
      <c r="B423" s="2">
        <v>45972</v>
      </c>
      <c r="C423" t="s">
        <v>321</v>
      </c>
      <c r="D423" t="s">
        <v>171</v>
      </c>
      <c r="E423" t="s">
        <v>41</v>
      </c>
      <c r="F423" t="s">
        <v>195</v>
      </c>
      <c r="G423" t="s">
        <v>195</v>
      </c>
      <c r="H423" t="s">
        <v>196</v>
      </c>
      <c r="I423" t="s">
        <v>65</v>
      </c>
      <c r="J423" t="s">
        <v>66</v>
      </c>
      <c r="K423">
        <v>4</v>
      </c>
      <c r="L423" s="3">
        <v>153300</v>
      </c>
      <c r="M423" s="3">
        <v>438000</v>
      </c>
      <c r="N423" s="3">
        <v>613200</v>
      </c>
      <c r="O423" s="4">
        <v>0.02</v>
      </c>
      <c r="P423" s="3">
        <v>12264</v>
      </c>
      <c r="Q423" s="3">
        <v>600936</v>
      </c>
      <c r="R423" s="3">
        <v>162936</v>
      </c>
      <c r="S423" t="s">
        <v>47</v>
      </c>
      <c r="T423" t="s">
        <v>77</v>
      </c>
      <c r="U423" t="s">
        <v>49</v>
      </c>
      <c r="V423" s="5">
        <v>0.27113702623906699</v>
      </c>
    </row>
    <row r="424" spans="1:22" x14ac:dyDescent="0.35">
      <c r="A424" t="s">
        <v>972</v>
      </c>
      <c r="B424" s="2">
        <v>45973</v>
      </c>
      <c r="C424" t="s">
        <v>389</v>
      </c>
      <c r="D424" t="s">
        <v>682</v>
      </c>
      <c r="E424" t="s">
        <v>41</v>
      </c>
      <c r="F424" t="s">
        <v>111</v>
      </c>
      <c r="G424" t="s">
        <v>112</v>
      </c>
      <c r="H424" t="s">
        <v>74</v>
      </c>
      <c r="I424" t="s">
        <v>113</v>
      </c>
      <c r="J424" t="s">
        <v>66</v>
      </c>
      <c r="K424">
        <v>7</v>
      </c>
      <c r="L424" s="3">
        <v>208900</v>
      </c>
      <c r="M424" s="3">
        <v>1059800</v>
      </c>
      <c r="N424" s="3">
        <v>1462300</v>
      </c>
      <c r="O424" s="4">
        <v>0</v>
      </c>
      <c r="P424" s="3">
        <v>0</v>
      </c>
      <c r="Q424" s="3">
        <v>1462300</v>
      </c>
      <c r="R424" s="3">
        <v>402500</v>
      </c>
      <c r="S424" t="s">
        <v>47</v>
      </c>
      <c r="T424" t="s">
        <v>48</v>
      </c>
      <c r="U424" t="s">
        <v>49</v>
      </c>
      <c r="V424" s="5">
        <v>0.27525131641933942</v>
      </c>
    </row>
    <row r="425" spans="1:22" x14ac:dyDescent="0.35">
      <c r="A425" t="s">
        <v>973</v>
      </c>
      <c r="B425" s="2">
        <v>45975</v>
      </c>
      <c r="C425" t="s">
        <v>324</v>
      </c>
      <c r="D425" t="s">
        <v>974</v>
      </c>
      <c r="E425" t="s">
        <v>41</v>
      </c>
      <c r="F425" t="s">
        <v>98</v>
      </c>
      <c r="G425" t="s">
        <v>98</v>
      </c>
      <c r="H425" t="s">
        <v>99</v>
      </c>
      <c r="I425" t="s">
        <v>103</v>
      </c>
      <c r="J425" t="s">
        <v>46</v>
      </c>
      <c r="K425">
        <v>7</v>
      </c>
      <c r="L425" s="3">
        <v>643100</v>
      </c>
      <c r="M425" s="3">
        <v>3711400</v>
      </c>
      <c r="N425" s="3">
        <v>4501700</v>
      </c>
      <c r="O425" s="4">
        <v>0</v>
      </c>
      <c r="P425" s="3">
        <v>0</v>
      </c>
      <c r="Q425" s="3">
        <v>4501700</v>
      </c>
      <c r="R425" s="3">
        <v>790300</v>
      </c>
      <c r="S425" t="s">
        <v>47</v>
      </c>
      <c r="T425" t="s">
        <v>48</v>
      </c>
      <c r="U425" t="s">
        <v>49</v>
      </c>
      <c r="V425" s="5">
        <v>0.17555590110402741</v>
      </c>
    </row>
    <row r="426" spans="1:22" x14ac:dyDescent="0.35">
      <c r="A426" t="s">
        <v>975</v>
      </c>
      <c r="B426" s="2">
        <v>45975</v>
      </c>
      <c r="C426" t="s">
        <v>315</v>
      </c>
      <c r="D426" t="s">
        <v>976</v>
      </c>
      <c r="E426" t="s">
        <v>61</v>
      </c>
      <c r="F426" t="s">
        <v>62</v>
      </c>
      <c r="G426" t="s">
        <v>63</v>
      </c>
      <c r="H426" t="s">
        <v>64</v>
      </c>
      <c r="I426" t="s">
        <v>83</v>
      </c>
      <c r="J426" t="s">
        <v>56</v>
      </c>
      <c r="K426">
        <v>2</v>
      </c>
      <c r="L426" s="3">
        <v>47900</v>
      </c>
      <c r="M426" s="3">
        <v>56400</v>
      </c>
      <c r="N426" s="3">
        <v>95800</v>
      </c>
      <c r="O426" s="4">
        <v>0.02</v>
      </c>
      <c r="P426" s="3">
        <v>1916</v>
      </c>
      <c r="Q426" s="3">
        <v>93884</v>
      </c>
      <c r="R426" s="3">
        <v>37484</v>
      </c>
      <c r="S426" t="s">
        <v>57</v>
      </c>
      <c r="T426" t="s">
        <v>107</v>
      </c>
      <c r="U426" t="s">
        <v>49</v>
      </c>
      <c r="V426" s="5">
        <v>0.39925865962251289</v>
      </c>
    </row>
    <row r="427" spans="1:22" x14ac:dyDescent="0.35">
      <c r="A427" t="s">
        <v>977</v>
      </c>
      <c r="B427" s="2">
        <v>45976</v>
      </c>
      <c r="C427" t="s">
        <v>978</v>
      </c>
      <c r="D427" t="s">
        <v>957</v>
      </c>
      <c r="E427" t="s">
        <v>41</v>
      </c>
      <c r="F427" t="s">
        <v>98</v>
      </c>
      <c r="G427" t="s">
        <v>98</v>
      </c>
      <c r="H427" t="s">
        <v>99</v>
      </c>
      <c r="I427" t="s">
        <v>120</v>
      </c>
      <c r="J427" t="s">
        <v>56</v>
      </c>
      <c r="K427">
        <v>2</v>
      </c>
      <c r="L427" s="3">
        <v>86400</v>
      </c>
      <c r="M427" s="3">
        <v>104800</v>
      </c>
      <c r="N427" s="3">
        <v>172800</v>
      </c>
      <c r="O427" s="4">
        <v>0</v>
      </c>
      <c r="P427" s="3">
        <v>0</v>
      </c>
      <c r="Q427" s="3">
        <v>172800</v>
      </c>
      <c r="R427" s="3">
        <v>68000</v>
      </c>
      <c r="S427" t="s">
        <v>57</v>
      </c>
      <c r="T427" t="s">
        <v>48</v>
      </c>
      <c r="U427" t="s">
        <v>49</v>
      </c>
      <c r="V427" s="5">
        <v>0.39351851851851849</v>
      </c>
    </row>
    <row r="428" spans="1:22" x14ac:dyDescent="0.35">
      <c r="A428" t="s">
        <v>979</v>
      </c>
      <c r="B428" s="2">
        <v>45976</v>
      </c>
      <c r="C428" t="s">
        <v>264</v>
      </c>
      <c r="D428" t="s">
        <v>980</v>
      </c>
      <c r="E428" t="s">
        <v>41</v>
      </c>
      <c r="F428" t="s">
        <v>111</v>
      </c>
      <c r="G428" t="s">
        <v>112</v>
      </c>
      <c r="H428" t="s">
        <v>74</v>
      </c>
      <c r="I428" t="s">
        <v>65</v>
      </c>
      <c r="J428" t="s">
        <v>66</v>
      </c>
      <c r="K428">
        <v>8</v>
      </c>
      <c r="L428" s="3">
        <v>156800</v>
      </c>
      <c r="M428" s="3">
        <v>868800</v>
      </c>
      <c r="N428" s="3">
        <v>1254400</v>
      </c>
      <c r="O428" s="4">
        <v>0.05</v>
      </c>
      <c r="P428" s="3">
        <v>62720</v>
      </c>
      <c r="Q428" s="3">
        <v>1191680</v>
      </c>
      <c r="R428" s="3">
        <v>322880</v>
      </c>
      <c r="S428" t="s">
        <v>57</v>
      </c>
      <c r="T428" t="s">
        <v>77</v>
      </c>
      <c r="U428" t="s">
        <v>49</v>
      </c>
      <c r="V428" s="5">
        <v>0.2709452201933405</v>
      </c>
    </row>
    <row r="429" spans="1:22" x14ac:dyDescent="0.35">
      <c r="A429" t="s">
        <v>981</v>
      </c>
      <c r="B429" s="2">
        <v>45977</v>
      </c>
      <c r="C429" t="s">
        <v>255</v>
      </c>
      <c r="D429" t="s">
        <v>872</v>
      </c>
      <c r="E429" t="s">
        <v>61</v>
      </c>
      <c r="F429" t="s">
        <v>98</v>
      </c>
      <c r="G429" t="s">
        <v>98</v>
      </c>
      <c r="H429" t="s">
        <v>99</v>
      </c>
      <c r="I429" t="s">
        <v>120</v>
      </c>
      <c r="J429" t="s">
        <v>56</v>
      </c>
      <c r="K429">
        <v>1</v>
      </c>
      <c r="L429" s="3">
        <v>88300</v>
      </c>
      <c r="M429" s="3">
        <v>53600</v>
      </c>
      <c r="N429" s="3">
        <v>88300</v>
      </c>
      <c r="O429" s="4">
        <v>0</v>
      </c>
      <c r="P429" s="3">
        <v>0</v>
      </c>
      <c r="Q429" s="3">
        <v>88300</v>
      </c>
      <c r="R429" s="3">
        <v>34700</v>
      </c>
      <c r="S429" t="s">
        <v>121</v>
      </c>
      <c r="T429" t="s">
        <v>77</v>
      </c>
      <c r="U429" t="s">
        <v>49</v>
      </c>
      <c r="V429" s="5">
        <v>0.39297848244620609</v>
      </c>
    </row>
    <row r="430" spans="1:22" x14ac:dyDescent="0.35">
      <c r="A430" t="s">
        <v>982</v>
      </c>
      <c r="B430" s="2">
        <v>45977</v>
      </c>
      <c r="C430" t="s">
        <v>983</v>
      </c>
      <c r="D430" t="s">
        <v>984</v>
      </c>
      <c r="E430" t="s">
        <v>41</v>
      </c>
      <c r="F430" t="s">
        <v>125</v>
      </c>
      <c r="G430" t="s">
        <v>126</v>
      </c>
      <c r="H430" t="s">
        <v>64</v>
      </c>
      <c r="I430" t="s">
        <v>83</v>
      </c>
      <c r="J430" t="s">
        <v>56</v>
      </c>
      <c r="K430">
        <v>7</v>
      </c>
      <c r="L430" s="3">
        <v>47300</v>
      </c>
      <c r="M430" s="3">
        <v>189700</v>
      </c>
      <c r="N430" s="3">
        <v>331100</v>
      </c>
      <c r="O430" s="4">
        <v>0.08</v>
      </c>
      <c r="P430" s="3">
        <v>26488</v>
      </c>
      <c r="Q430" s="3">
        <v>304612</v>
      </c>
      <c r="R430" s="3">
        <v>114912</v>
      </c>
      <c r="S430" t="s">
        <v>57</v>
      </c>
      <c r="T430" t="s">
        <v>48</v>
      </c>
      <c r="U430" t="s">
        <v>49</v>
      </c>
      <c r="V430" s="5">
        <v>0.37724055519808808</v>
      </c>
    </row>
    <row r="431" spans="1:22" x14ac:dyDescent="0.35">
      <c r="A431" t="s">
        <v>985</v>
      </c>
      <c r="B431" s="2">
        <v>45978</v>
      </c>
      <c r="C431" t="s">
        <v>633</v>
      </c>
      <c r="D431" t="s">
        <v>267</v>
      </c>
      <c r="E431" t="s">
        <v>61</v>
      </c>
      <c r="F431" t="s">
        <v>81</v>
      </c>
      <c r="G431" t="s">
        <v>82</v>
      </c>
      <c r="H431" t="s">
        <v>64</v>
      </c>
      <c r="I431" t="s">
        <v>55</v>
      </c>
      <c r="J431" t="s">
        <v>56</v>
      </c>
      <c r="K431">
        <v>4</v>
      </c>
      <c r="L431" s="3">
        <v>37700</v>
      </c>
      <c r="M431" s="3">
        <v>80800</v>
      </c>
      <c r="N431" s="3">
        <v>150800</v>
      </c>
      <c r="O431" s="4">
        <v>0.05</v>
      </c>
      <c r="P431" s="3">
        <v>7540</v>
      </c>
      <c r="Q431" s="3">
        <v>143260</v>
      </c>
      <c r="R431" s="3">
        <v>62460</v>
      </c>
      <c r="S431" t="s">
        <v>76</v>
      </c>
      <c r="T431" t="s">
        <v>107</v>
      </c>
      <c r="U431" t="s">
        <v>49</v>
      </c>
      <c r="V431" s="5">
        <v>0.43599050677090612</v>
      </c>
    </row>
    <row r="432" spans="1:22" x14ac:dyDescent="0.35">
      <c r="A432" t="s">
        <v>986</v>
      </c>
      <c r="B432" s="2">
        <v>45978</v>
      </c>
      <c r="C432" t="s">
        <v>978</v>
      </c>
      <c r="D432" t="s">
        <v>353</v>
      </c>
      <c r="E432" t="s">
        <v>61</v>
      </c>
      <c r="F432" t="s">
        <v>42</v>
      </c>
      <c r="G432" t="s">
        <v>43</v>
      </c>
      <c r="H432" t="s">
        <v>44</v>
      </c>
      <c r="I432" t="s">
        <v>55</v>
      </c>
      <c r="J432" t="s">
        <v>56</v>
      </c>
      <c r="K432">
        <v>1</v>
      </c>
      <c r="L432" s="3">
        <v>35400</v>
      </c>
      <c r="M432" s="3">
        <v>21000</v>
      </c>
      <c r="N432" s="3">
        <v>35400</v>
      </c>
      <c r="O432" s="4">
        <v>0</v>
      </c>
      <c r="P432" s="3">
        <v>0</v>
      </c>
      <c r="Q432" s="3">
        <v>35400</v>
      </c>
      <c r="R432" s="3">
        <v>14400</v>
      </c>
      <c r="S432" t="s">
        <v>67</v>
      </c>
      <c r="T432" t="s">
        <v>48</v>
      </c>
      <c r="U432" t="s">
        <v>49</v>
      </c>
      <c r="V432" s="5">
        <v>0.40677966101694918</v>
      </c>
    </row>
    <row r="433" spans="1:22" x14ac:dyDescent="0.35">
      <c r="A433" t="s">
        <v>987</v>
      </c>
      <c r="B433" s="2">
        <v>45978</v>
      </c>
      <c r="C433" t="s">
        <v>88</v>
      </c>
      <c r="D433" t="s">
        <v>988</v>
      </c>
      <c r="E433" t="s">
        <v>41</v>
      </c>
      <c r="F433" t="s">
        <v>168</v>
      </c>
      <c r="G433" t="s">
        <v>169</v>
      </c>
      <c r="H433" t="s">
        <v>74</v>
      </c>
      <c r="I433" t="s">
        <v>103</v>
      </c>
      <c r="J433" t="s">
        <v>46</v>
      </c>
      <c r="K433">
        <v>1</v>
      </c>
      <c r="L433" s="3">
        <v>670000</v>
      </c>
      <c r="M433" s="3">
        <v>518200</v>
      </c>
      <c r="N433" s="3">
        <v>670000</v>
      </c>
      <c r="O433" s="4">
        <v>0</v>
      </c>
      <c r="P433" s="3">
        <v>0</v>
      </c>
      <c r="Q433" s="3">
        <v>670000</v>
      </c>
      <c r="R433" s="3">
        <v>151800</v>
      </c>
      <c r="S433" t="s">
        <v>76</v>
      </c>
      <c r="T433" t="s">
        <v>48</v>
      </c>
      <c r="U433" t="s">
        <v>49</v>
      </c>
      <c r="V433" s="5">
        <v>0.2265671641791045</v>
      </c>
    </row>
    <row r="434" spans="1:22" x14ac:dyDescent="0.35">
      <c r="A434" t="s">
        <v>989</v>
      </c>
      <c r="B434" s="2">
        <v>45980</v>
      </c>
      <c r="C434" t="s">
        <v>255</v>
      </c>
      <c r="D434" t="s">
        <v>502</v>
      </c>
      <c r="E434" t="s">
        <v>41</v>
      </c>
      <c r="F434" t="s">
        <v>42</v>
      </c>
      <c r="G434" t="s">
        <v>43</v>
      </c>
      <c r="H434" t="s">
        <v>44</v>
      </c>
      <c r="I434" t="s">
        <v>140</v>
      </c>
      <c r="J434" t="s">
        <v>46</v>
      </c>
      <c r="K434">
        <v>8</v>
      </c>
      <c r="L434" s="3">
        <v>269900</v>
      </c>
      <c r="M434" s="3">
        <v>1775200</v>
      </c>
      <c r="N434" s="3">
        <v>2159200</v>
      </c>
      <c r="O434" s="4">
        <v>0</v>
      </c>
      <c r="P434" s="3">
        <v>0</v>
      </c>
      <c r="Q434" s="3">
        <v>2159200</v>
      </c>
      <c r="R434" s="3">
        <v>384000</v>
      </c>
      <c r="S434" t="s">
        <v>57</v>
      </c>
      <c r="T434" t="s">
        <v>48</v>
      </c>
      <c r="U434" t="s">
        <v>68</v>
      </c>
      <c r="V434" s="5">
        <v>0.1778436457947388</v>
      </c>
    </row>
    <row r="435" spans="1:22" x14ac:dyDescent="0.35">
      <c r="A435" t="s">
        <v>990</v>
      </c>
      <c r="B435" s="2">
        <v>45980</v>
      </c>
      <c r="C435" t="s">
        <v>318</v>
      </c>
      <c r="D435" t="s">
        <v>377</v>
      </c>
      <c r="E435" t="s">
        <v>41</v>
      </c>
      <c r="F435" t="s">
        <v>72</v>
      </c>
      <c r="G435" t="s">
        <v>73</v>
      </c>
      <c r="H435" t="s">
        <v>74</v>
      </c>
      <c r="I435" t="s">
        <v>65</v>
      </c>
      <c r="J435" t="s">
        <v>66</v>
      </c>
      <c r="K435">
        <v>4</v>
      </c>
      <c r="L435" s="3">
        <v>151700</v>
      </c>
      <c r="M435" s="3">
        <v>461200</v>
      </c>
      <c r="N435" s="3">
        <v>606800</v>
      </c>
      <c r="O435" s="4">
        <v>0</v>
      </c>
      <c r="P435" s="3">
        <v>0</v>
      </c>
      <c r="Q435" s="3">
        <v>606800</v>
      </c>
      <c r="R435" s="3">
        <v>145600</v>
      </c>
      <c r="S435" t="s">
        <v>57</v>
      </c>
      <c r="T435" t="s">
        <v>48</v>
      </c>
      <c r="U435" t="s">
        <v>49</v>
      </c>
      <c r="V435" s="5">
        <v>0.23994726433750821</v>
      </c>
    </row>
    <row r="436" spans="1:22" x14ac:dyDescent="0.35">
      <c r="A436" t="s">
        <v>991</v>
      </c>
      <c r="B436" s="2">
        <v>45980</v>
      </c>
      <c r="C436" t="s">
        <v>145</v>
      </c>
      <c r="D436" t="s">
        <v>137</v>
      </c>
      <c r="E436" t="s">
        <v>61</v>
      </c>
      <c r="F436" t="s">
        <v>111</v>
      </c>
      <c r="G436" t="s">
        <v>112</v>
      </c>
      <c r="H436" t="s">
        <v>74</v>
      </c>
      <c r="I436" t="s">
        <v>45</v>
      </c>
      <c r="J436" t="s">
        <v>46</v>
      </c>
      <c r="K436">
        <v>7</v>
      </c>
      <c r="L436" s="3">
        <v>388300</v>
      </c>
      <c r="M436" s="3">
        <v>2411500</v>
      </c>
      <c r="N436" s="3">
        <v>2718100</v>
      </c>
      <c r="O436" s="4">
        <v>0</v>
      </c>
      <c r="P436" s="3">
        <v>0</v>
      </c>
      <c r="Q436" s="3">
        <v>2718100</v>
      </c>
      <c r="R436" s="3">
        <v>306600</v>
      </c>
      <c r="S436" t="s">
        <v>121</v>
      </c>
      <c r="T436" t="s">
        <v>48</v>
      </c>
      <c r="U436" t="s">
        <v>49</v>
      </c>
      <c r="V436" s="5">
        <v>0.112799381921195</v>
      </c>
    </row>
    <row r="437" spans="1:22" x14ac:dyDescent="0.35">
      <c r="A437" t="s">
        <v>992</v>
      </c>
      <c r="B437" s="2">
        <v>45981</v>
      </c>
      <c r="C437" t="s">
        <v>742</v>
      </c>
      <c r="D437" t="s">
        <v>235</v>
      </c>
      <c r="E437" t="s">
        <v>41</v>
      </c>
      <c r="F437" t="s">
        <v>98</v>
      </c>
      <c r="G437" t="s">
        <v>98</v>
      </c>
      <c r="H437" t="s">
        <v>99</v>
      </c>
      <c r="I437" t="s">
        <v>65</v>
      </c>
      <c r="J437" t="s">
        <v>66</v>
      </c>
      <c r="K437">
        <v>1</v>
      </c>
      <c r="L437" s="3">
        <v>172200</v>
      </c>
      <c r="M437" s="3">
        <v>113500</v>
      </c>
      <c r="N437" s="3">
        <v>172200</v>
      </c>
      <c r="O437" s="4">
        <v>0</v>
      </c>
      <c r="P437" s="3">
        <v>0</v>
      </c>
      <c r="Q437" s="3">
        <v>172200</v>
      </c>
      <c r="R437" s="3">
        <v>58700</v>
      </c>
      <c r="S437" t="s">
        <v>67</v>
      </c>
      <c r="T437" t="s">
        <v>107</v>
      </c>
      <c r="U437" t="s">
        <v>49</v>
      </c>
      <c r="V437" s="5">
        <v>0.3408826945412311</v>
      </c>
    </row>
    <row r="438" spans="1:22" x14ac:dyDescent="0.35">
      <c r="A438" t="s">
        <v>993</v>
      </c>
      <c r="B438" s="2">
        <v>45982</v>
      </c>
      <c r="C438" t="s">
        <v>264</v>
      </c>
      <c r="D438" t="s">
        <v>994</v>
      </c>
      <c r="E438" t="s">
        <v>41</v>
      </c>
      <c r="F438" t="s">
        <v>81</v>
      </c>
      <c r="G438" t="s">
        <v>82</v>
      </c>
      <c r="H438" t="s">
        <v>64</v>
      </c>
      <c r="I438" t="s">
        <v>55</v>
      </c>
      <c r="J438" t="s">
        <v>56</v>
      </c>
      <c r="K438">
        <v>4</v>
      </c>
      <c r="L438" s="3">
        <v>32700</v>
      </c>
      <c r="M438" s="3">
        <v>83200</v>
      </c>
      <c r="N438" s="3">
        <v>130800</v>
      </c>
      <c r="O438" s="4">
        <v>0</v>
      </c>
      <c r="P438" s="3">
        <v>0</v>
      </c>
      <c r="Q438" s="3">
        <v>130800</v>
      </c>
      <c r="R438" s="3">
        <v>47600</v>
      </c>
      <c r="S438" t="s">
        <v>76</v>
      </c>
      <c r="T438" t="s">
        <v>77</v>
      </c>
      <c r="U438" t="s">
        <v>49</v>
      </c>
      <c r="V438" s="5">
        <v>0.36391437308868502</v>
      </c>
    </row>
    <row r="439" spans="1:22" x14ac:dyDescent="0.35">
      <c r="A439" t="s">
        <v>995</v>
      </c>
      <c r="B439" s="2">
        <v>45982</v>
      </c>
      <c r="C439" t="s">
        <v>916</v>
      </c>
      <c r="D439" t="s">
        <v>996</v>
      </c>
      <c r="E439" t="s">
        <v>61</v>
      </c>
      <c r="F439" t="s">
        <v>72</v>
      </c>
      <c r="G439" t="s">
        <v>73</v>
      </c>
      <c r="H439" t="s">
        <v>74</v>
      </c>
      <c r="I439" t="s">
        <v>131</v>
      </c>
      <c r="J439" t="s">
        <v>91</v>
      </c>
      <c r="K439">
        <v>4</v>
      </c>
      <c r="L439" s="3">
        <v>129500</v>
      </c>
      <c r="M439" s="3">
        <v>324000</v>
      </c>
      <c r="N439" s="3">
        <v>518000</v>
      </c>
      <c r="O439" s="4">
        <v>0.05</v>
      </c>
      <c r="P439" s="3">
        <v>25900</v>
      </c>
      <c r="Q439" s="3">
        <v>492100</v>
      </c>
      <c r="R439" s="3">
        <v>168100</v>
      </c>
      <c r="S439" t="s">
        <v>76</v>
      </c>
      <c r="T439" t="s">
        <v>48</v>
      </c>
      <c r="U439" t="s">
        <v>49</v>
      </c>
      <c r="V439" s="5">
        <v>0.34159723633407851</v>
      </c>
    </row>
    <row r="440" spans="1:22" x14ac:dyDescent="0.35">
      <c r="A440" t="s">
        <v>997</v>
      </c>
      <c r="B440" s="2">
        <v>45982</v>
      </c>
      <c r="C440" t="s">
        <v>425</v>
      </c>
      <c r="D440" t="s">
        <v>536</v>
      </c>
      <c r="E440" t="s">
        <v>61</v>
      </c>
      <c r="F440" t="s">
        <v>53</v>
      </c>
      <c r="G440" t="s">
        <v>54</v>
      </c>
      <c r="H440" t="s">
        <v>44</v>
      </c>
      <c r="I440" t="s">
        <v>90</v>
      </c>
      <c r="J440" t="s">
        <v>91</v>
      </c>
      <c r="K440">
        <v>7</v>
      </c>
      <c r="L440" s="3">
        <v>167700</v>
      </c>
      <c r="M440" s="3">
        <v>868700</v>
      </c>
      <c r="N440" s="3">
        <v>1173900</v>
      </c>
      <c r="O440" s="4">
        <v>0</v>
      </c>
      <c r="P440" s="3">
        <v>0</v>
      </c>
      <c r="Q440" s="3">
        <v>1173900</v>
      </c>
      <c r="R440" s="3">
        <v>305200</v>
      </c>
      <c r="S440" t="s">
        <v>57</v>
      </c>
      <c r="T440" t="s">
        <v>48</v>
      </c>
      <c r="U440" t="s">
        <v>49</v>
      </c>
      <c r="V440" s="5">
        <v>0.25998807394156231</v>
      </c>
    </row>
    <row r="441" spans="1:22" x14ac:dyDescent="0.35">
      <c r="A441" t="s">
        <v>998</v>
      </c>
      <c r="B441" s="2">
        <v>45982</v>
      </c>
      <c r="C441" t="s">
        <v>329</v>
      </c>
      <c r="D441" t="s">
        <v>728</v>
      </c>
      <c r="E441" t="s">
        <v>61</v>
      </c>
      <c r="F441" t="s">
        <v>73</v>
      </c>
      <c r="G441" t="s">
        <v>73</v>
      </c>
      <c r="H441" t="s">
        <v>74</v>
      </c>
      <c r="I441" t="s">
        <v>113</v>
      </c>
      <c r="J441" t="s">
        <v>66</v>
      </c>
      <c r="K441">
        <v>1</v>
      </c>
      <c r="L441" s="3">
        <v>221700</v>
      </c>
      <c r="M441" s="3">
        <v>154700</v>
      </c>
      <c r="N441" s="3">
        <v>221700</v>
      </c>
      <c r="O441" s="4">
        <v>0</v>
      </c>
      <c r="P441" s="3">
        <v>0</v>
      </c>
      <c r="Q441" s="3">
        <v>221700</v>
      </c>
      <c r="R441" s="3">
        <v>67000</v>
      </c>
      <c r="S441" t="s">
        <v>121</v>
      </c>
      <c r="T441" t="s">
        <v>77</v>
      </c>
      <c r="U441" t="s">
        <v>68</v>
      </c>
      <c r="V441" s="5">
        <v>0.30221019395579612</v>
      </c>
    </row>
    <row r="442" spans="1:22" x14ac:dyDescent="0.35">
      <c r="A442" t="s">
        <v>999</v>
      </c>
      <c r="B442" s="2">
        <v>45982</v>
      </c>
      <c r="C442" t="s">
        <v>1000</v>
      </c>
      <c r="D442" t="s">
        <v>548</v>
      </c>
      <c r="E442" t="s">
        <v>61</v>
      </c>
      <c r="F442" t="s">
        <v>168</v>
      </c>
      <c r="G442" t="s">
        <v>169</v>
      </c>
      <c r="H442" t="s">
        <v>74</v>
      </c>
      <c r="I442" t="s">
        <v>113</v>
      </c>
      <c r="J442" t="s">
        <v>66</v>
      </c>
      <c r="K442">
        <v>3</v>
      </c>
      <c r="L442" s="3">
        <v>223400</v>
      </c>
      <c r="M442" s="3">
        <v>451800</v>
      </c>
      <c r="N442" s="3">
        <v>670200</v>
      </c>
      <c r="O442" s="4">
        <v>0.05</v>
      </c>
      <c r="P442" s="3">
        <v>33510</v>
      </c>
      <c r="Q442" s="3">
        <v>636690</v>
      </c>
      <c r="R442" s="3">
        <v>184890</v>
      </c>
      <c r="S442" t="s">
        <v>47</v>
      </c>
      <c r="T442" t="s">
        <v>48</v>
      </c>
      <c r="U442" t="s">
        <v>49</v>
      </c>
      <c r="V442" s="5">
        <v>0.29039249870423589</v>
      </c>
    </row>
    <row r="443" spans="1:22" x14ac:dyDescent="0.35">
      <c r="A443" t="s">
        <v>1001</v>
      </c>
      <c r="B443" s="2">
        <v>45982</v>
      </c>
      <c r="C443" t="s">
        <v>231</v>
      </c>
      <c r="D443" t="s">
        <v>467</v>
      </c>
      <c r="E443" t="s">
        <v>41</v>
      </c>
      <c r="F443" t="s">
        <v>62</v>
      </c>
      <c r="G443" t="s">
        <v>63</v>
      </c>
      <c r="H443" t="s">
        <v>64</v>
      </c>
      <c r="I443" t="s">
        <v>45</v>
      </c>
      <c r="J443" t="s">
        <v>46</v>
      </c>
      <c r="K443">
        <v>3</v>
      </c>
      <c r="L443" s="3">
        <v>419200</v>
      </c>
      <c r="M443" s="3">
        <v>1006800</v>
      </c>
      <c r="N443" s="3">
        <v>1257600</v>
      </c>
      <c r="O443" s="4">
        <v>0.05</v>
      </c>
      <c r="P443" s="3">
        <v>62880</v>
      </c>
      <c r="Q443" s="3">
        <v>1194720</v>
      </c>
      <c r="R443" s="3">
        <v>187920</v>
      </c>
      <c r="S443" t="s">
        <v>121</v>
      </c>
      <c r="T443" t="s">
        <v>48</v>
      </c>
      <c r="U443" t="s">
        <v>49</v>
      </c>
      <c r="V443" s="5">
        <v>0.157292085174769</v>
      </c>
    </row>
    <row r="444" spans="1:22" x14ac:dyDescent="0.35">
      <c r="A444" t="s">
        <v>1002</v>
      </c>
      <c r="B444" s="2">
        <v>45983</v>
      </c>
      <c r="C444" t="s">
        <v>1003</v>
      </c>
      <c r="D444" t="s">
        <v>576</v>
      </c>
      <c r="E444" t="s">
        <v>41</v>
      </c>
      <c r="F444" t="s">
        <v>72</v>
      </c>
      <c r="G444" t="s">
        <v>73</v>
      </c>
      <c r="H444" t="s">
        <v>74</v>
      </c>
      <c r="I444" t="s">
        <v>75</v>
      </c>
      <c r="J444" t="s">
        <v>56</v>
      </c>
      <c r="K444">
        <v>8</v>
      </c>
      <c r="L444" s="3">
        <v>65800</v>
      </c>
      <c r="M444" s="3">
        <v>336800</v>
      </c>
      <c r="N444" s="3">
        <v>526400</v>
      </c>
      <c r="O444" s="4">
        <v>0.05</v>
      </c>
      <c r="P444" s="3">
        <v>26320</v>
      </c>
      <c r="Q444" s="3">
        <v>500080</v>
      </c>
      <c r="R444" s="3">
        <v>163280</v>
      </c>
      <c r="S444" t="s">
        <v>47</v>
      </c>
      <c r="T444" t="s">
        <v>48</v>
      </c>
      <c r="U444" t="s">
        <v>49</v>
      </c>
      <c r="V444" s="5">
        <v>0.32650775875859861</v>
      </c>
    </row>
    <row r="445" spans="1:22" x14ac:dyDescent="0.35">
      <c r="A445" t="s">
        <v>1004</v>
      </c>
      <c r="B445" s="2">
        <v>45984</v>
      </c>
      <c r="C445" t="s">
        <v>1005</v>
      </c>
      <c r="D445" t="s">
        <v>849</v>
      </c>
      <c r="E445" t="s">
        <v>61</v>
      </c>
      <c r="F445" t="s">
        <v>125</v>
      </c>
      <c r="G445" t="s">
        <v>126</v>
      </c>
      <c r="H445" t="s">
        <v>64</v>
      </c>
      <c r="I445" t="s">
        <v>45</v>
      </c>
      <c r="J445" t="s">
        <v>46</v>
      </c>
      <c r="K445">
        <v>6</v>
      </c>
      <c r="L445" s="3">
        <v>452700</v>
      </c>
      <c r="M445" s="3">
        <v>1989600</v>
      </c>
      <c r="N445" s="3">
        <v>2716200</v>
      </c>
      <c r="O445" s="4">
        <v>0</v>
      </c>
      <c r="P445" s="3">
        <v>0</v>
      </c>
      <c r="Q445" s="3">
        <v>2716200</v>
      </c>
      <c r="R445" s="3">
        <v>726600</v>
      </c>
      <c r="S445" t="s">
        <v>121</v>
      </c>
      <c r="T445" t="s">
        <v>48</v>
      </c>
      <c r="U445" t="s">
        <v>49</v>
      </c>
      <c r="V445" s="5">
        <v>0.26750607466313231</v>
      </c>
    </row>
    <row r="446" spans="1:22" x14ac:dyDescent="0.35">
      <c r="A446" t="s">
        <v>1006</v>
      </c>
      <c r="B446" s="2">
        <v>45984</v>
      </c>
      <c r="C446" t="s">
        <v>218</v>
      </c>
      <c r="D446" t="s">
        <v>1007</v>
      </c>
      <c r="E446" t="s">
        <v>41</v>
      </c>
      <c r="F446" t="s">
        <v>111</v>
      </c>
      <c r="G446" t="s">
        <v>112</v>
      </c>
      <c r="H446" t="s">
        <v>74</v>
      </c>
      <c r="I446" t="s">
        <v>113</v>
      </c>
      <c r="J446" t="s">
        <v>66</v>
      </c>
      <c r="K446">
        <v>6</v>
      </c>
      <c r="L446" s="3">
        <v>223800</v>
      </c>
      <c r="M446" s="3">
        <v>918000</v>
      </c>
      <c r="N446" s="3">
        <v>1342800</v>
      </c>
      <c r="O446" s="4">
        <v>0.05</v>
      </c>
      <c r="P446" s="3">
        <v>67140</v>
      </c>
      <c r="Q446" s="3">
        <v>1275660</v>
      </c>
      <c r="R446" s="3">
        <v>357660</v>
      </c>
      <c r="S446" t="s">
        <v>47</v>
      </c>
      <c r="T446" t="s">
        <v>77</v>
      </c>
      <c r="U446" t="s">
        <v>49</v>
      </c>
      <c r="V446" s="5">
        <v>0.28037251305206717</v>
      </c>
    </row>
    <row r="447" spans="1:22" x14ac:dyDescent="0.35">
      <c r="A447" t="s">
        <v>1008</v>
      </c>
      <c r="B447" s="2">
        <v>45984</v>
      </c>
      <c r="C447" t="s">
        <v>212</v>
      </c>
      <c r="D447" t="s">
        <v>1009</v>
      </c>
      <c r="E447" t="s">
        <v>41</v>
      </c>
      <c r="F447" t="s">
        <v>81</v>
      </c>
      <c r="G447" t="s">
        <v>82</v>
      </c>
      <c r="H447" t="s">
        <v>64</v>
      </c>
      <c r="I447" t="s">
        <v>156</v>
      </c>
      <c r="J447" t="s">
        <v>91</v>
      </c>
      <c r="K447">
        <v>6</v>
      </c>
      <c r="L447" s="3">
        <v>257000</v>
      </c>
      <c r="M447" s="3">
        <v>1019400</v>
      </c>
      <c r="N447" s="3">
        <v>1542000</v>
      </c>
      <c r="O447" s="4">
        <v>0</v>
      </c>
      <c r="P447" s="3">
        <v>0</v>
      </c>
      <c r="Q447" s="3">
        <v>1542000</v>
      </c>
      <c r="R447" s="3">
        <v>522600</v>
      </c>
      <c r="S447" t="s">
        <v>47</v>
      </c>
      <c r="T447" t="s">
        <v>77</v>
      </c>
      <c r="U447" t="s">
        <v>49</v>
      </c>
      <c r="V447" s="5">
        <v>0.33891050583657589</v>
      </c>
    </row>
    <row r="448" spans="1:22" x14ac:dyDescent="0.35">
      <c r="A448" t="s">
        <v>1010</v>
      </c>
      <c r="B448" s="2">
        <v>45985</v>
      </c>
      <c r="C448" t="s">
        <v>399</v>
      </c>
      <c r="D448" t="s">
        <v>155</v>
      </c>
      <c r="E448" t="s">
        <v>61</v>
      </c>
      <c r="F448" t="s">
        <v>53</v>
      </c>
      <c r="G448" t="s">
        <v>54</v>
      </c>
      <c r="H448" t="s">
        <v>44</v>
      </c>
      <c r="I448" t="s">
        <v>140</v>
      </c>
      <c r="J448" t="s">
        <v>46</v>
      </c>
      <c r="K448">
        <v>8</v>
      </c>
      <c r="L448" s="3">
        <v>300900</v>
      </c>
      <c r="M448" s="3">
        <v>1712000</v>
      </c>
      <c r="N448" s="3">
        <v>2407200</v>
      </c>
      <c r="O448" s="4">
        <v>0</v>
      </c>
      <c r="P448" s="3">
        <v>0</v>
      </c>
      <c r="Q448" s="3">
        <v>2407200</v>
      </c>
      <c r="R448" s="3">
        <v>695200</v>
      </c>
      <c r="S448" t="s">
        <v>67</v>
      </c>
      <c r="T448" t="s">
        <v>48</v>
      </c>
      <c r="U448" t="s">
        <v>49</v>
      </c>
      <c r="V448" s="5">
        <v>0.28880026586905949</v>
      </c>
    </row>
    <row r="449" spans="1:22" x14ac:dyDescent="0.35">
      <c r="A449" t="s">
        <v>1011</v>
      </c>
      <c r="B449" s="2">
        <v>45986</v>
      </c>
      <c r="C449" t="s">
        <v>259</v>
      </c>
      <c r="D449" t="s">
        <v>789</v>
      </c>
      <c r="E449" t="s">
        <v>61</v>
      </c>
      <c r="F449" t="s">
        <v>98</v>
      </c>
      <c r="G449" t="s">
        <v>98</v>
      </c>
      <c r="H449" t="s">
        <v>99</v>
      </c>
      <c r="I449" t="s">
        <v>156</v>
      </c>
      <c r="J449" t="s">
        <v>91</v>
      </c>
      <c r="K449">
        <v>3</v>
      </c>
      <c r="L449" s="3">
        <v>252100</v>
      </c>
      <c r="M449" s="3">
        <v>484200</v>
      </c>
      <c r="N449" s="3">
        <v>756300</v>
      </c>
      <c r="O449" s="4">
        <v>0</v>
      </c>
      <c r="P449" s="3">
        <v>0</v>
      </c>
      <c r="Q449" s="3">
        <v>756300</v>
      </c>
      <c r="R449" s="3">
        <v>272100</v>
      </c>
      <c r="S449" t="s">
        <v>57</v>
      </c>
      <c r="T449" t="s">
        <v>48</v>
      </c>
      <c r="U449" t="s">
        <v>49</v>
      </c>
      <c r="V449" s="5">
        <v>0.35977786592621969</v>
      </c>
    </row>
    <row r="450" spans="1:22" x14ac:dyDescent="0.35">
      <c r="A450" t="s">
        <v>1012</v>
      </c>
      <c r="B450" s="2">
        <v>45986</v>
      </c>
      <c r="C450" t="s">
        <v>739</v>
      </c>
      <c r="D450" t="s">
        <v>1013</v>
      </c>
      <c r="E450" t="s">
        <v>41</v>
      </c>
      <c r="F450" t="s">
        <v>42</v>
      </c>
      <c r="G450" t="s">
        <v>43</v>
      </c>
      <c r="H450" t="s">
        <v>44</v>
      </c>
      <c r="I450" t="s">
        <v>45</v>
      </c>
      <c r="J450" t="s">
        <v>46</v>
      </c>
      <c r="K450">
        <v>2</v>
      </c>
      <c r="L450" s="3">
        <v>421200</v>
      </c>
      <c r="M450" s="3">
        <v>654600</v>
      </c>
      <c r="N450" s="3">
        <v>842400</v>
      </c>
      <c r="O450" s="4">
        <v>0</v>
      </c>
      <c r="P450" s="3">
        <v>0</v>
      </c>
      <c r="Q450" s="3">
        <v>842400</v>
      </c>
      <c r="R450" s="3">
        <v>187800</v>
      </c>
      <c r="S450" t="s">
        <v>121</v>
      </c>
      <c r="T450" t="s">
        <v>77</v>
      </c>
      <c r="U450" t="s">
        <v>49</v>
      </c>
      <c r="V450" s="5">
        <v>0.22293447293447291</v>
      </c>
    </row>
    <row r="451" spans="1:22" x14ac:dyDescent="0.35">
      <c r="A451" t="s">
        <v>1014</v>
      </c>
      <c r="B451" s="2">
        <v>45986</v>
      </c>
      <c r="C451" t="s">
        <v>724</v>
      </c>
      <c r="D451" t="s">
        <v>164</v>
      </c>
      <c r="E451" t="s">
        <v>41</v>
      </c>
      <c r="F451" t="s">
        <v>72</v>
      </c>
      <c r="G451" t="s">
        <v>73</v>
      </c>
      <c r="H451" t="s">
        <v>74</v>
      </c>
      <c r="I451" t="s">
        <v>140</v>
      </c>
      <c r="J451" t="s">
        <v>46</v>
      </c>
      <c r="K451">
        <v>3</v>
      </c>
      <c r="L451" s="3">
        <v>290600</v>
      </c>
      <c r="M451" s="3">
        <v>635700</v>
      </c>
      <c r="N451" s="3">
        <v>871800</v>
      </c>
      <c r="O451" s="4">
        <v>0.02</v>
      </c>
      <c r="P451" s="3">
        <v>17436</v>
      </c>
      <c r="Q451" s="3">
        <v>854364</v>
      </c>
      <c r="R451" s="3">
        <v>218664</v>
      </c>
      <c r="S451" t="s">
        <v>67</v>
      </c>
      <c r="T451" t="s">
        <v>77</v>
      </c>
      <c r="U451" t="s">
        <v>49</v>
      </c>
      <c r="V451" s="5">
        <v>0.25593775018610337</v>
      </c>
    </row>
    <row r="452" spans="1:22" x14ac:dyDescent="0.35">
      <c r="A452" t="s">
        <v>1015</v>
      </c>
      <c r="B452" s="2">
        <v>45987</v>
      </c>
      <c r="C452" t="s">
        <v>433</v>
      </c>
      <c r="D452" t="s">
        <v>253</v>
      </c>
      <c r="E452" t="s">
        <v>61</v>
      </c>
      <c r="F452" t="s">
        <v>111</v>
      </c>
      <c r="G452" t="s">
        <v>112</v>
      </c>
      <c r="H452" t="s">
        <v>74</v>
      </c>
      <c r="I452" t="s">
        <v>156</v>
      </c>
      <c r="J452" t="s">
        <v>91</v>
      </c>
      <c r="K452">
        <v>8</v>
      </c>
      <c r="L452" s="3">
        <v>231600</v>
      </c>
      <c r="M452" s="3">
        <v>1310400</v>
      </c>
      <c r="N452" s="3">
        <v>1852800</v>
      </c>
      <c r="O452" s="4">
        <v>0</v>
      </c>
      <c r="P452" s="3">
        <v>0</v>
      </c>
      <c r="Q452" s="3">
        <v>1852800</v>
      </c>
      <c r="R452" s="3">
        <v>542400</v>
      </c>
      <c r="S452" t="s">
        <v>57</v>
      </c>
      <c r="T452" t="s">
        <v>107</v>
      </c>
      <c r="U452" t="s">
        <v>49</v>
      </c>
      <c r="V452" s="5">
        <v>0.29274611398963729</v>
      </c>
    </row>
    <row r="453" spans="1:22" x14ac:dyDescent="0.35">
      <c r="A453" t="s">
        <v>1016</v>
      </c>
      <c r="B453" s="2">
        <v>45988</v>
      </c>
      <c r="C453" t="s">
        <v>148</v>
      </c>
      <c r="D453" t="s">
        <v>1017</v>
      </c>
      <c r="E453" t="s">
        <v>61</v>
      </c>
      <c r="F453" t="s">
        <v>168</v>
      </c>
      <c r="G453" t="s">
        <v>169</v>
      </c>
      <c r="H453" t="s">
        <v>74</v>
      </c>
      <c r="I453" t="s">
        <v>156</v>
      </c>
      <c r="J453" t="s">
        <v>91</v>
      </c>
      <c r="K453">
        <v>2</v>
      </c>
      <c r="L453" s="3">
        <v>258800</v>
      </c>
      <c r="M453" s="3">
        <v>323200</v>
      </c>
      <c r="N453" s="3">
        <v>517600</v>
      </c>
      <c r="O453" s="4">
        <v>0.02</v>
      </c>
      <c r="P453" s="3">
        <v>10352</v>
      </c>
      <c r="Q453" s="3">
        <v>507248</v>
      </c>
      <c r="R453" s="3">
        <v>184048</v>
      </c>
      <c r="S453" t="s">
        <v>47</v>
      </c>
      <c r="T453" t="s">
        <v>48</v>
      </c>
      <c r="U453" t="s">
        <v>49</v>
      </c>
      <c r="V453" s="5">
        <v>0.36283632463804688</v>
      </c>
    </row>
    <row r="454" spans="1:22" x14ac:dyDescent="0.35">
      <c r="A454" t="s">
        <v>1018</v>
      </c>
      <c r="B454" s="2">
        <v>45989</v>
      </c>
      <c r="C454" t="s">
        <v>466</v>
      </c>
      <c r="D454" t="s">
        <v>1019</v>
      </c>
      <c r="E454" t="s">
        <v>61</v>
      </c>
      <c r="F454" t="s">
        <v>73</v>
      </c>
      <c r="G454" t="s">
        <v>73</v>
      </c>
      <c r="H454" t="s">
        <v>74</v>
      </c>
      <c r="I454" t="s">
        <v>120</v>
      </c>
      <c r="J454" t="s">
        <v>56</v>
      </c>
      <c r="K454">
        <v>4</v>
      </c>
      <c r="L454" s="3">
        <v>89900</v>
      </c>
      <c r="M454" s="3">
        <v>204000</v>
      </c>
      <c r="N454" s="3">
        <v>359600</v>
      </c>
      <c r="O454" s="4">
        <v>0.02</v>
      </c>
      <c r="P454" s="3">
        <v>7192</v>
      </c>
      <c r="Q454" s="3">
        <v>352408</v>
      </c>
      <c r="R454" s="3">
        <v>148408</v>
      </c>
      <c r="S454" t="s">
        <v>57</v>
      </c>
      <c r="T454" t="s">
        <v>48</v>
      </c>
      <c r="U454" t="s">
        <v>68</v>
      </c>
      <c r="V454" s="5">
        <v>0.42112551360922568</v>
      </c>
    </row>
    <row r="455" spans="1:22" x14ac:dyDescent="0.35">
      <c r="A455" t="s">
        <v>1020</v>
      </c>
      <c r="B455" s="2">
        <v>45990</v>
      </c>
      <c r="C455" t="s">
        <v>585</v>
      </c>
      <c r="D455" t="s">
        <v>1021</v>
      </c>
      <c r="E455" t="s">
        <v>41</v>
      </c>
      <c r="F455" t="s">
        <v>195</v>
      </c>
      <c r="G455" t="s">
        <v>195</v>
      </c>
      <c r="H455" t="s">
        <v>196</v>
      </c>
      <c r="I455" t="s">
        <v>131</v>
      </c>
      <c r="J455" t="s">
        <v>91</v>
      </c>
      <c r="K455">
        <v>2</v>
      </c>
      <c r="L455" s="3">
        <v>127100</v>
      </c>
      <c r="M455" s="3">
        <v>154800</v>
      </c>
      <c r="N455" s="3">
        <v>254200</v>
      </c>
      <c r="O455" s="4">
        <v>0.1</v>
      </c>
      <c r="P455" s="3">
        <v>25420</v>
      </c>
      <c r="Q455" s="3">
        <v>228780</v>
      </c>
      <c r="R455" s="3">
        <v>73980</v>
      </c>
      <c r="S455" t="s">
        <v>47</v>
      </c>
      <c r="T455" t="s">
        <v>107</v>
      </c>
      <c r="U455" t="s">
        <v>68</v>
      </c>
      <c r="V455" s="5">
        <v>0.32336742722265932</v>
      </c>
    </row>
    <row r="456" spans="1:22" x14ac:dyDescent="0.35">
      <c r="A456" t="s">
        <v>1022</v>
      </c>
      <c r="B456" s="2">
        <v>45991</v>
      </c>
      <c r="C456" t="s">
        <v>402</v>
      </c>
      <c r="D456" t="s">
        <v>453</v>
      </c>
      <c r="E456" t="s">
        <v>41</v>
      </c>
      <c r="F456" t="s">
        <v>98</v>
      </c>
      <c r="G456" t="s">
        <v>98</v>
      </c>
      <c r="H456" t="s">
        <v>99</v>
      </c>
      <c r="I456" t="s">
        <v>156</v>
      </c>
      <c r="J456" t="s">
        <v>91</v>
      </c>
      <c r="K456">
        <v>4</v>
      </c>
      <c r="L456" s="3">
        <v>254000</v>
      </c>
      <c r="M456" s="3">
        <v>663200</v>
      </c>
      <c r="N456" s="3">
        <v>1016000</v>
      </c>
      <c r="O456" s="4">
        <v>0.02</v>
      </c>
      <c r="P456" s="3">
        <v>20320</v>
      </c>
      <c r="Q456" s="3">
        <v>995680</v>
      </c>
      <c r="R456" s="3">
        <v>332480</v>
      </c>
      <c r="S456" t="s">
        <v>47</v>
      </c>
      <c r="T456" t="s">
        <v>48</v>
      </c>
      <c r="U456" t="s">
        <v>49</v>
      </c>
      <c r="V456" s="5">
        <v>0.33392254539611121</v>
      </c>
    </row>
    <row r="457" spans="1:22" x14ac:dyDescent="0.35">
      <c r="A457" t="s">
        <v>1023</v>
      </c>
      <c r="B457" s="2">
        <v>45991</v>
      </c>
      <c r="C457" t="s">
        <v>776</v>
      </c>
      <c r="D457" t="s">
        <v>493</v>
      </c>
      <c r="E457" t="s">
        <v>41</v>
      </c>
      <c r="F457" t="s">
        <v>62</v>
      </c>
      <c r="G457" t="s">
        <v>63</v>
      </c>
      <c r="H457" t="s">
        <v>64</v>
      </c>
      <c r="I457" t="s">
        <v>75</v>
      </c>
      <c r="J457" t="s">
        <v>56</v>
      </c>
      <c r="K457">
        <v>6</v>
      </c>
      <c r="L457" s="3">
        <v>68800</v>
      </c>
      <c r="M457" s="3">
        <v>253200</v>
      </c>
      <c r="N457" s="3">
        <v>412800</v>
      </c>
      <c r="O457" s="4">
        <v>0</v>
      </c>
      <c r="P457" s="3">
        <v>0</v>
      </c>
      <c r="Q457" s="3">
        <v>0</v>
      </c>
      <c r="R457" s="3">
        <v>0</v>
      </c>
      <c r="S457" t="s">
        <v>57</v>
      </c>
      <c r="T457" t="s">
        <v>48</v>
      </c>
      <c r="U457" t="s">
        <v>127</v>
      </c>
      <c r="V457" s="5">
        <v>0</v>
      </c>
    </row>
    <row r="458" spans="1:22" x14ac:dyDescent="0.35">
      <c r="A458" t="s">
        <v>1024</v>
      </c>
      <c r="B458" s="2">
        <v>45992</v>
      </c>
      <c r="C458" t="s">
        <v>1025</v>
      </c>
      <c r="D458" t="s">
        <v>1026</v>
      </c>
      <c r="E458" t="s">
        <v>41</v>
      </c>
      <c r="F458" t="s">
        <v>111</v>
      </c>
      <c r="G458" t="s">
        <v>112</v>
      </c>
      <c r="H458" t="s">
        <v>74</v>
      </c>
      <c r="I458" t="s">
        <v>120</v>
      </c>
      <c r="J458" t="s">
        <v>56</v>
      </c>
      <c r="K458">
        <v>8</v>
      </c>
      <c r="L458" s="3">
        <v>86200</v>
      </c>
      <c r="M458" s="3">
        <v>400000</v>
      </c>
      <c r="N458" s="3">
        <v>689600</v>
      </c>
      <c r="O458" s="4">
        <v>0</v>
      </c>
      <c r="P458" s="3">
        <v>0</v>
      </c>
      <c r="Q458" s="3">
        <v>689600</v>
      </c>
      <c r="R458" s="3">
        <v>289600</v>
      </c>
      <c r="S458" t="s">
        <v>57</v>
      </c>
      <c r="T458" t="s">
        <v>48</v>
      </c>
      <c r="U458" t="s">
        <v>49</v>
      </c>
      <c r="V458" s="5">
        <v>0.41995359628770301</v>
      </c>
    </row>
    <row r="459" spans="1:22" x14ac:dyDescent="0.35">
      <c r="A459" t="s">
        <v>1027</v>
      </c>
      <c r="B459" s="2">
        <v>45992</v>
      </c>
      <c r="C459" t="s">
        <v>123</v>
      </c>
      <c r="D459" t="s">
        <v>336</v>
      </c>
      <c r="E459" t="s">
        <v>61</v>
      </c>
      <c r="F459" t="s">
        <v>195</v>
      </c>
      <c r="G459" t="s">
        <v>195</v>
      </c>
      <c r="H459" t="s">
        <v>196</v>
      </c>
      <c r="I459" t="s">
        <v>55</v>
      </c>
      <c r="J459" t="s">
        <v>56</v>
      </c>
      <c r="K459">
        <v>2</v>
      </c>
      <c r="L459" s="3">
        <v>34300</v>
      </c>
      <c r="M459" s="3">
        <v>43000</v>
      </c>
      <c r="N459" s="3">
        <v>68600</v>
      </c>
      <c r="O459" s="4">
        <v>0</v>
      </c>
      <c r="P459" s="3">
        <v>0</v>
      </c>
      <c r="Q459" s="3">
        <v>68600</v>
      </c>
      <c r="R459" s="3">
        <v>25600</v>
      </c>
      <c r="S459" t="s">
        <v>67</v>
      </c>
      <c r="T459" t="s">
        <v>48</v>
      </c>
      <c r="U459" t="s">
        <v>49</v>
      </c>
      <c r="V459" s="5">
        <v>0.37317784256559772</v>
      </c>
    </row>
    <row r="460" spans="1:22" x14ac:dyDescent="0.35">
      <c r="A460" t="s">
        <v>1028</v>
      </c>
      <c r="B460" s="2">
        <v>45993</v>
      </c>
      <c r="C460" t="s">
        <v>447</v>
      </c>
      <c r="D460" t="s">
        <v>362</v>
      </c>
      <c r="E460" t="s">
        <v>61</v>
      </c>
      <c r="F460" t="s">
        <v>168</v>
      </c>
      <c r="G460" t="s">
        <v>169</v>
      </c>
      <c r="H460" t="s">
        <v>74</v>
      </c>
      <c r="I460" t="s">
        <v>45</v>
      </c>
      <c r="J460" t="s">
        <v>46</v>
      </c>
      <c r="K460">
        <v>5</v>
      </c>
      <c r="L460" s="3">
        <v>398800</v>
      </c>
      <c r="M460" s="3">
        <v>1615500</v>
      </c>
      <c r="N460" s="3">
        <v>1994000</v>
      </c>
      <c r="O460" s="4">
        <v>0.02</v>
      </c>
      <c r="P460" s="3">
        <v>39880</v>
      </c>
      <c r="Q460" s="3">
        <v>1954120</v>
      </c>
      <c r="R460" s="3">
        <v>338620</v>
      </c>
      <c r="S460" t="s">
        <v>57</v>
      </c>
      <c r="T460" t="s">
        <v>48</v>
      </c>
      <c r="U460" t="s">
        <v>49</v>
      </c>
      <c r="V460" s="5">
        <v>0.17328516160727081</v>
      </c>
    </row>
    <row r="461" spans="1:22" x14ac:dyDescent="0.35">
      <c r="A461" t="s">
        <v>1029</v>
      </c>
      <c r="B461" s="2">
        <v>45994</v>
      </c>
      <c r="C461" t="s">
        <v>458</v>
      </c>
      <c r="D461" t="s">
        <v>391</v>
      </c>
      <c r="E461" t="s">
        <v>41</v>
      </c>
      <c r="F461" t="s">
        <v>98</v>
      </c>
      <c r="G461" t="s">
        <v>98</v>
      </c>
      <c r="H461" t="s">
        <v>99</v>
      </c>
      <c r="I461" t="s">
        <v>75</v>
      </c>
      <c r="J461" t="s">
        <v>56</v>
      </c>
      <c r="K461">
        <v>6</v>
      </c>
      <c r="L461" s="3">
        <v>68200</v>
      </c>
      <c r="M461" s="3">
        <v>248400</v>
      </c>
      <c r="N461" s="3">
        <v>409200</v>
      </c>
      <c r="O461" s="4">
        <v>0</v>
      </c>
      <c r="P461" s="3">
        <v>0</v>
      </c>
      <c r="Q461" s="3">
        <v>409200</v>
      </c>
      <c r="R461" s="3">
        <v>160800</v>
      </c>
      <c r="S461" t="s">
        <v>67</v>
      </c>
      <c r="T461" t="s">
        <v>48</v>
      </c>
      <c r="U461" t="s">
        <v>49</v>
      </c>
      <c r="V461" s="5">
        <v>0.39296187683284461</v>
      </c>
    </row>
    <row r="462" spans="1:22" x14ac:dyDescent="0.35">
      <c r="A462" t="s">
        <v>1030</v>
      </c>
      <c r="B462" s="2">
        <v>45995</v>
      </c>
      <c r="C462" t="s">
        <v>837</v>
      </c>
      <c r="D462" t="s">
        <v>249</v>
      </c>
      <c r="E462" t="s">
        <v>41</v>
      </c>
      <c r="F462" t="s">
        <v>53</v>
      </c>
      <c r="G462" t="s">
        <v>54</v>
      </c>
      <c r="H462" t="s">
        <v>44</v>
      </c>
      <c r="I462" t="s">
        <v>90</v>
      </c>
      <c r="J462" t="s">
        <v>91</v>
      </c>
      <c r="K462">
        <v>3</v>
      </c>
      <c r="L462" s="3">
        <v>191600</v>
      </c>
      <c r="M462" s="3">
        <v>378600</v>
      </c>
      <c r="N462" s="3">
        <v>574800</v>
      </c>
      <c r="O462" s="4">
        <v>0.1</v>
      </c>
      <c r="P462" s="3">
        <v>57480</v>
      </c>
      <c r="Q462" s="3">
        <v>517320</v>
      </c>
      <c r="R462" s="3">
        <v>138720</v>
      </c>
      <c r="S462" t="s">
        <v>67</v>
      </c>
      <c r="T462" t="s">
        <v>48</v>
      </c>
      <c r="U462" t="s">
        <v>49</v>
      </c>
      <c r="V462" s="5">
        <v>0.26815124101136628</v>
      </c>
    </row>
    <row r="463" spans="1:22" x14ac:dyDescent="0.35">
      <c r="A463" t="s">
        <v>1031</v>
      </c>
      <c r="B463" s="2">
        <v>45996</v>
      </c>
      <c r="C463" t="s">
        <v>1032</v>
      </c>
      <c r="D463" t="s">
        <v>645</v>
      </c>
      <c r="E463" t="s">
        <v>61</v>
      </c>
      <c r="F463" t="s">
        <v>111</v>
      </c>
      <c r="G463" t="s">
        <v>112</v>
      </c>
      <c r="H463" t="s">
        <v>74</v>
      </c>
      <c r="I463" t="s">
        <v>83</v>
      </c>
      <c r="J463" t="s">
        <v>56</v>
      </c>
      <c r="K463">
        <v>2</v>
      </c>
      <c r="L463" s="3">
        <v>42600</v>
      </c>
      <c r="M463" s="3">
        <v>57200</v>
      </c>
      <c r="N463" s="3">
        <v>85200</v>
      </c>
      <c r="O463" s="4">
        <v>0.05</v>
      </c>
      <c r="P463" s="3">
        <v>4260</v>
      </c>
      <c r="Q463" s="3">
        <v>80940</v>
      </c>
      <c r="R463" s="3">
        <v>23740</v>
      </c>
      <c r="S463" t="s">
        <v>121</v>
      </c>
      <c r="T463" t="s">
        <v>107</v>
      </c>
      <c r="U463" t="s">
        <v>49</v>
      </c>
      <c r="V463" s="5">
        <v>0.29330368173956017</v>
      </c>
    </row>
    <row r="464" spans="1:22" x14ac:dyDescent="0.35">
      <c r="A464" t="s">
        <v>1033</v>
      </c>
      <c r="B464" s="2">
        <v>45996</v>
      </c>
      <c r="C464" t="s">
        <v>274</v>
      </c>
      <c r="D464" t="s">
        <v>1034</v>
      </c>
      <c r="E464" t="s">
        <v>41</v>
      </c>
      <c r="F464" t="s">
        <v>168</v>
      </c>
      <c r="G464" t="s">
        <v>169</v>
      </c>
      <c r="H464" t="s">
        <v>74</v>
      </c>
      <c r="I464" t="s">
        <v>83</v>
      </c>
      <c r="J464" t="s">
        <v>56</v>
      </c>
      <c r="K464">
        <v>8</v>
      </c>
      <c r="L464" s="3">
        <v>46500</v>
      </c>
      <c r="M464" s="3">
        <v>229600</v>
      </c>
      <c r="N464" s="3">
        <v>372000</v>
      </c>
      <c r="O464" s="4">
        <v>0.02</v>
      </c>
      <c r="P464" s="3">
        <v>0</v>
      </c>
      <c r="Q464" s="3">
        <v>0</v>
      </c>
      <c r="R464" s="3">
        <v>0</v>
      </c>
      <c r="S464" t="s">
        <v>76</v>
      </c>
      <c r="T464" t="s">
        <v>48</v>
      </c>
      <c r="U464" t="s">
        <v>127</v>
      </c>
      <c r="V464" s="5">
        <v>0</v>
      </c>
    </row>
    <row r="465" spans="1:22" x14ac:dyDescent="0.35">
      <c r="A465" t="s">
        <v>1035</v>
      </c>
      <c r="B465" s="2">
        <v>45997</v>
      </c>
      <c r="C465" t="s">
        <v>261</v>
      </c>
      <c r="D465" t="s">
        <v>1036</v>
      </c>
      <c r="E465" t="s">
        <v>41</v>
      </c>
      <c r="F465" t="s">
        <v>111</v>
      </c>
      <c r="G465" t="s">
        <v>112</v>
      </c>
      <c r="H465" t="s">
        <v>74</v>
      </c>
      <c r="I465" t="s">
        <v>65</v>
      </c>
      <c r="J465" t="s">
        <v>66</v>
      </c>
      <c r="K465">
        <v>4</v>
      </c>
      <c r="L465" s="3">
        <v>169300</v>
      </c>
      <c r="M465" s="3">
        <v>439200</v>
      </c>
      <c r="N465" s="3">
        <v>677200</v>
      </c>
      <c r="O465" s="4">
        <v>0.05</v>
      </c>
      <c r="P465" s="3">
        <v>33860</v>
      </c>
      <c r="Q465" s="3">
        <v>643340</v>
      </c>
      <c r="R465" s="3">
        <v>204140</v>
      </c>
      <c r="S465" t="s">
        <v>67</v>
      </c>
      <c r="T465" t="s">
        <v>48</v>
      </c>
      <c r="U465" t="s">
        <v>68</v>
      </c>
      <c r="V465" s="5">
        <v>0.31731277396089158</v>
      </c>
    </row>
    <row r="466" spans="1:22" x14ac:dyDescent="0.35">
      <c r="A466" t="s">
        <v>1037</v>
      </c>
      <c r="B466" s="2">
        <v>45997</v>
      </c>
      <c r="C466" t="s">
        <v>154</v>
      </c>
      <c r="D466" t="s">
        <v>232</v>
      </c>
      <c r="E466" t="s">
        <v>41</v>
      </c>
      <c r="F466" t="s">
        <v>81</v>
      </c>
      <c r="G466" t="s">
        <v>82</v>
      </c>
      <c r="H466" t="s">
        <v>64</v>
      </c>
      <c r="I466" t="s">
        <v>131</v>
      </c>
      <c r="J466" t="s">
        <v>91</v>
      </c>
      <c r="K466">
        <v>4</v>
      </c>
      <c r="L466" s="3">
        <v>114400</v>
      </c>
      <c r="M466" s="3">
        <v>312000</v>
      </c>
      <c r="N466" s="3">
        <v>457600</v>
      </c>
      <c r="O466" s="4">
        <v>0</v>
      </c>
      <c r="P466" s="3">
        <v>0</v>
      </c>
      <c r="Q466" s="3">
        <v>457600</v>
      </c>
      <c r="R466" s="3">
        <v>145600</v>
      </c>
      <c r="S466" t="s">
        <v>47</v>
      </c>
      <c r="T466" t="s">
        <v>48</v>
      </c>
      <c r="U466" t="s">
        <v>49</v>
      </c>
      <c r="V466" s="5">
        <v>0.31818181818181818</v>
      </c>
    </row>
    <row r="467" spans="1:22" x14ac:dyDescent="0.35">
      <c r="A467" t="s">
        <v>1038</v>
      </c>
      <c r="B467" s="2">
        <v>45999</v>
      </c>
      <c r="C467" t="s">
        <v>1039</v>
      </c>
      <c r="D467" t="s">
        <v>1040</v>
      </c>
      <c r="E467" t="s">
        <v>61</v>
      </c>
      <c r="F467" t="s">
        <v>81</v>
      </c>
      <c r="G467" t="s">
        <v>82</v>
      </c>
      <c r="H467" t="s">
        <v>64</v>
      </c>
      <c r="I467" t="s">
        <v>75</v>
      </c>
      <c r="J467" t="s">
        <v>56</v>
      </c>
      <c r="K467">
        <v>2</v>
      </c>
      <c r="L467" s="3">
        <v>66000</v>
      </c>
      <c r="M467" s="3">
        <v>84200</v>
      </c>
      <c r="N467" s="3">
        <v>132000</v>
      </c>
      <c r="O467" s="4">
        <v>0.08</v>
      </c>
      <c r="P467" s="3">
        <v>10560</v>
      </c>
      <c r="Q467" s="3">
        <v>121440</v>
      </c>
      <c r="R467" s="3">
        <v>37240</v>
      </c>
      <c r="S467" t="s">
        <v>57</v>
      </c>
      <c r="T467" t="s">
        <v>48</v>
      </c>
      <c r="U467" t="s">
        <v>49</v>
      </c>
      <c r="V467" s="5">
        <v>0.30665349143610021</v>
      </c>
    </row>
    <row r="468" spans="1:22" x14ac:dyDescent="0.35">
      <c r="A468" t="s">
        <v>1041</v>
      </c>
      <c r="B468" s="2">
        <v>46000</v>
      </c>
      <c r="C468" t="s">
        <v>309</v>
      </c>
      <c r="D468" t="s">
        <v>1042</v>
      </c>
      <c r="E468" t="s">
        <v>61</v>
      </c>
      <c r="F468" t="s">
        <v>125</v>
      </c>
      <c r="G468" t="s">
        <v>126</v>
      </c>
      <c r="H468" t="s">
        <v>64</v>
      </c>
      <c r="I468" t="s">
        <v>156</v>
      </c>
      <c r="J468" t="s">
        <v>91</v>
      </c>
      <c r="K468">
        <v>1</v>
      </c>
      <c r="L468" s="3">
        <v>259100</v>
      </c>
      <c r="M468" s="3">
        <v>161900</v>
      </c>
      <c r="N468" s="3">
        <v>259100</v>
      </c>
      <c r="O468" s="4">
        <v>0.1</v>
      </c>
      <c r="P468" s="3">
        <v>25910</v>
      </c>
      <c r="Q468" s="3">
        <v>233190</v>
      </c>
      <c r="R468" s="3">
        <v>71290</v>
      </c>
      <c r="S468" t="s">
        <v>47</v>
      </c>
      <c r="T468" t="s">
        <v>48</v>
      </c>
      <c r="U468" t="s">
        <v>49</v>
      </c>
      <c r="V468" s="5">
        <v>0.30571636862644203</v>
      </c>
    </row>
    <row r="469" spans="1:22" x14ac:dyDescent="0.35">
      <c r="A469" t="s">
        <v>1043</v>
      </c>
      <c r="B469" s="2">
        <v>46000</v>
      </c>
      <c r="C469" t="s">
        <v>279</v>
      </c>
      <c r="D469" t="s">
        <v>1044</v>
      </c>
      <c r="E469" t="s">
        <v>61</v>
      </c>
      <c r="F469" t="s">
        <v>53</v>
      </c>
      <c r="G469" t="s">
        <v>54</v>
      </c>
      <c r="H469" t="s">
        <v>44</v>
      </c>
      <c r="I469" t="s">
        <v>83</v>
      </c>
      <c r="J469" t="s">
        <v>56</v>
      </c>
      <c r="K469">
        <v>7</v>
      </c>
      <c r="L469" s="3">
        <v>46100</v>
      </c>
      <c r="M469" s="3">
        <v>202300</v>
      </c>
      <c r="N469" s="3">
        <v>322700</v>
      </c>
      <c r="O469" s="4">
        <v>0.05</v>
      </c>
      <c r="P469" s="3">
        <v>16135</v>
      </c>
      <c r="Q469" s="3">
        <v>306565</v>
      </c>
      <c r="R469" s="3">
        <v>104265</v>
      </c>
      <c r="S469" t="s">
        <v>57</v>
      </c>
      <c r="T469" t="s">
        <v>48</v>
      </c>
      <c r="U469" t="s">
        <v>49</v>
      </c>
      <c r="V469" s="5">
        <v>0.34010731818700762</v>
      </c>
    </row>
    <row r="470" spans="1:22" x14ac:dyDescent="0.35">
      <c r="A470" t="s">
        <v>1045</v>
      </c>
      <c r="B470" s="2">
        <v>46000</v>
      </c>
      <c r="C470" t="s">
        <v>1046</v>
      </c>
      <c r="D470" t="s">
        <v>1047</v>
      </c>
      <c r="E470" t="s">
        <v>41</v>
      </c>
      <c r="F470" t="s">
        <v>42</v>
      </c>
      <c r="G470" t="s">
        <v>43</v>
      </c>
      <c r="H470" t="s">
        <v>44</v>
      </c>
      <c r="I470" t="s">
        <v>75</v>
      </c>
      <c r="J470" t="s">
        <v>56</v>
      </c>
      <c r="K470">
        <v>2</v>
      </c>
      <c r="L470" s="3">
        <v>64600</v>
      </c>
      <c r="M470" s="3">
        <v>86000</v>
      </c>
      <c r="N470" s="3">
        <v>129200</v>
      </c>
      <c r="O470" s="4">
        <v>0</v>
      </c>
      <c r="P470" s="3">
        <v>0</v>
      </c>
      <c r="Q470" s="3">
        <v>129200</v>
      </c>
      <c r="R470" s="3">
        <v>43200</v>
      </c>
      <c r="S470" t="s">
        <v>67</v>
      </c>
      <c r="T470" t="s">
        <v>48</v>
      </c>
      <c r="U470" t="s">
        <v>49</v>
      </c>
      <c r="V470" s="5">
        <v>0.33436532507739941</v>
      </c>
    </row>
    <row r="471" spans="1:22" x14ac:dyDescent="0.35">
      <c r="A471" t="s">
        <v>1048</v>
      </c>
      <c r="B471" s="2">
        <v>46003</v>
      </c>
      <c r="C471" t="s">
        <v>477</v>
      </c>
      <c r="D471" t="s">
        <v>369</v>
      </c>
      <c r="E471" t="s">
        <v>41</v>
      </c>
      <c r="F471" t="s">
        <v>53</v>
      </c>
      <c r="G471" t="s">
        <v>54</v>
      </c>
      <c r="H471" t="s">
        <v>44</v>
      </c>
      <c r="I471" t="s">
        <v>45</v>
      </c>
      <c r="J471" t="s">
        <v>46</v>
      </c>
      <c r="K471">
        <v>6</v>
      </c>
      <c r="L471" s="3">
        <v>433200</v>
      </c>
      <c r="M471" s="3">
        <v>2067600</v>
      </c>
      <c r="N471" s="3">
        <v>2599200</v>
      </c>
      <c r="O471" s="4">
        <v>0</v>
      </c>
      <c r="P471" s="3">
        <v>0</v>
      </c>
      <c r="Q471" s="3">
        <v>2599200</v>
      </c>
      <c r="R471" s="3">
        <v>531600</v>
      </c>
      <c r="S471" t="s">
        <v>47</v>
      </c>
      <c r="T471" t="s">
        <v>77</v>
      </c>
      <c r="U471" t="s">
        <v>49</v>
      </c>
      <c r="V471" s="5">
        <v>0.20452446906740529</v>
      </c>
    </row>
    <row r="472" spans="1:22" x14ac:dyDescent="0.35">
      <c r="A472" t="s">
        <v>1049</v>
      </c>
      <c r="B472" s="2">
        <v>46003</v>
      </c>
      <c r="C472" t="s">
        <v>324</v>
      </c>
      <c r="D472" t="s">
        <v>52</v>
      </c>
      <c r="E472" t="s">
        <v>61</v>
      </c>
      <c r="F472" t="s">
        <v>195</v>
      </c>
      <c r="G472" t="s">
        <v>195</v>
      </c>
      <c r="H472" t="s">
        <v>196</v>
      </c>
      <c r="I472" t="s">
        <v>113</v>
      </c>
      <c r="J472" t="s">
        <v>66</v>
      </c>
      <c r="K472">
        <v>2</v>
      </c>
      <c r="L472" s="3">
        <v>210200</v>
      </c>
      <c r="M472" s="3">
        <v>292600</v>
      </c>
      <c r="N472" s="3">
        <v>420400</v>
      </c>
      <c r="O472" s="4">
        <v>0</v>
      </c>
      <c r="P472" s="3">
        <v>0</v>
      </c>
      <c r="Q472" s="3">
        <v>420400</v>
      </c>
      <c r="R472" s="3">
        <v>127800</v>
      </c>
      <c r="S472" t="s">
        <v>121</v>
      </c>
      <c r="T472" t="s">
        <v>48</v>
      </c>
      <c r="U472" t="s">
        <v>49</v>
      </c>
      <c r="V472" s="5">
        <v>0.30399619410085632</v>
      </c>
    </row>
    <row r="473" spans="1:22" x14ac:dyDescent="0.35">
      <c r="A473" t="s">
        <v>1050</v>
      </c>
      <c r="B473" s="2">
        <v>46003</v>
      </c>
      <c r="C473" t="s">
        <v>1051</v>
      </c>
      <c r="D473" t="s">
        <v>347</v>
      </c>
      <c r="E473" t="s">
        <v>41</v>
      </c>
      <c r="F473" t="s">
        <v>111</v>
      </c>
      <c r="G473" t="s">
        <v>112</v>
      </c>
      <c r="H473" t="s">
        <v>74</v>
      </c>
      <c r="I473" t="s">
        <v>75</v>
      </c>
      <c r="J473" t="s">
        <v>56</v>
      </c>
      <c r="K473">
        <v>2</v>
      </c>
      <c r="L473" s="3">
        <v>68000</v>
      </c>
      <c r="M473" s="3">
        <v>84800</v>
      </c>
      <c r="N473" s="3">
        <v>136000</v>
      </c>
      <c r="O473" s="4">
        <v>0</v>
      </c>
      <c r="P473" s="3">
        <v>0</v>
      </c>
      <c r="Q473" s="3">
        <v>136000</v>
      </c>
      <c r="R473" s="3">
        <v>51200</v>
      </c>
      <c r="S473" t="s">
        <v>76</v>
      </c>
      <c r="T473" t="s">
        <v>48</v>
      </c>
      <c r="U473" t="s">
        <v>49</v>
      </c>
      <c r="V473" s="5">
        <v>0.37647058823529411</v>
      </c>
    </row>
    <row r="474" spans="1:22" x14ac:dyDescent="0.35">
      <c r="A474" t="s">
        <v>1052</v>
      </c>
      <c r="B474" s="2">
        <v>46004</v>
      </c>
      <c r="C474" t="s">
        <v>368</v>
      </c>
      <c r="D474" t="s">
        <v>1053</v>
      </c>
      <c r="E474" t="s">
        <v>41</v>
      </c>
      <c r="F474" t="s">
        <v>81</v>
      </c>
      <c r="G474" t="s">
        <v>82</v>
      </c>
      <c r="H474" t="s">
        <v>64</v>
      </c>
      <c r="I474" t="s">
        <v>90</v>
      </c>
      <c r="J474" t="s">
        <v>91</v>
      </c>
      <c r="K474">
        <v>8</v>
      </c>
      <c r="L474" s="3">
        <v>182200</v>
      </c>
      <c r="M474" s="3">
        <v>1019200</v>
      </c>
      <c r="N474" s="3">
        <v>1457600</v>
      </c>
      <c r="O474" s="4">
        <v>0.05</v>
      </c>
      <c r="P474" s="3">
        <v>72880</v>
      </c>
      <c r="Q474" s="3">
        <v>1384720</v>
      </c>
      <c r="R474" s="3">
        <v>365520</v>
      </c>
      <c r="S474" t="s">
        <v>47</v>
      </c>
      <c r="T474" t="s">
        <v>48</v>
      </c>
      <c r="U474" t="s">
        <v>49</v>
      </c>
      <c r="V474" s="5">
        <v>0.26396672251429892</v>
      </c>
    </row>
    <row r="475" spans="1:22" x14ac:dyDescent="0.35">
      <c r="A475" t="s">
        <v>1054</v>
      </c>
      <c r="B475" s="2">
        <v>46004</v>
      </c>
      <c r="C475" t="s">
        <v>312</v>
      </c>
      <c r="D475" t="s">
        <v>812</v>
      </c>
      <c r="E475" t="s">
        <v>41</v>
      </c>
      <c r="F475" t="s">
        <v>62</v>
      </c>
      <c r="G475" t="s">
        <v>63</v>
      </c>
      <c r="H475" t="s">
        <v>64</v>
      </c>
      <c r="I475" t="s">
        <v>120</v>
      </c>
      <c r="J475" t="s">
        <v>56</v>
      </c>
      <c r="K475">
        <v>7</v>
      </c>
      <c r="L475" s="3">
        <v>90200</v>
      </c>
      <c r="M475" s="3">
        <v>364000</v>
      </c>
      <c r="N475" s="3">
        <v>631400</v>
      </c>
      <c r="O475" s="4">
        <v>0.02</v>
      </c>
      <c r="P475" s="3">
        <v>12628</v>
      </c>
      <c r="Q475" s="3">
        <v>618772</v>
      </c>
      <c r="R475" s="3">
        <v>254772</v>
      </c>
      <c r="S475" t="s">
        <v>76</v>
      </c>
      <c r="T475" t="s">
        <v>48</v>
      </c>
      <c r="U475" t="s">
        <v>49</v>
      </c>
      <c r="V475" s="5">
        <v>0.41173808769627579</v>
      </c>
    </row>
    <row r="476" spans="1:22" x14ac:dyDescent="0.35">
      <c r="A476" t="s">
        <v>1055</v>
      </c>
      <c r="B476" s="2">
        <v>46005</v>
      </c>
      <c r="C476" t="s">
        <v>498</v>
      </c>
      <c r="D476" t="s">
        <v>565</v>
      </c>
      <c r="E476" t="s">
        <v>41</v>
      </c>
      <c r="F476" t="s">
        <v>200</v>
      </c>
      <c r="G476" t="s">
        <v>201</v>
      </c>
      <c r="H476" t="s">
        <v>99</v>
      </c>
      <c r="I476" t="s">
        <v>90</v>
      </c>
      <c r="J476" t="s">
        <v>91</v>
      </c>
      <c r="K476">
        <v>7</v>
      </c>
      <c r="L476" s="3">
        <v>183300</v>
      </c>
      <c r="M476" s="3">
        <v>861000</v>
      </c>
      <c r="N476" s="3">
        <v>1283100</v>
      </c>
      <c r="O476" s="4">
        <v>0.08</v>
      </c>
      <c r="P476" s="3">
        <v>102648</v>
      </c>
      <c r="Q476" s="3">
        <v>1180452</v>
      </c>
      <c r="R476" s="3">
        <v>319452</v>
      </c>
      <c r="S476" t="s">
        <v>47</v>
      </c>
      <c r="T476" t="s">
        <v>107</v>
      </c>
      <c r="U476" t="s">
        <v>68</v>
      </c>
      <c r="V476" s="5">
        <v>0.27061837330107452</v>
      </c>
    </row>
    <row r="477" spans="1:22" x14ac:dyDescent="0.35">
      <c r="A477" t="s">
        <v>1056</v>
      </c>
      <c r="B477" s="2">
        <v>46005</v>
      </c>
      <c r="C477" t="s">
        <v>486</v>
      </c>
      <c r="D477" t="s">
        <v>955</v>
      </c>
      <c r="E477" t="s">
        <v>41</v>
      </c>
      <c r="F477" t="s">
        <v>81</v>
      </c>
      <c r="G477" t="s">
        <v>82</v>
      </c>
      <c r="H477" t="s">
        <v>64</v>
      </c>
      <c r="I477" t="s">
        <v>75</v>
      </c>
      <c r="J477" t="s">
        <v>56</v>
      </c>
      <c r="K477">
        <v>6</v>
      </c>
      <c r="L477" s="3">
        <v>61700</v>
      </c>
      <c r="M477" s="3">
        <v>258000</v>
      </c>
      <c r="N477" s="3">
        <v>370200</v>
      </c>
      <c r="O477" s="4">
        <v>0</v>
      </c>
      <c r="P477" s="3">
        <v>0</v>
      </c>
      <c r="Q477" s="3">
        <v>370200</v>
      </c>
      <c r="R477" s="3">
        <v>112200</v>
      </c>
      <c r="S477" t="s">
        <v>47</v>
      </c>
      <c r="T477" t="s">
        <v>48</v>
      </c>
      <c r="U477" t="s">
        <v>49</v>
      </c>
      <c r="V477" s="5">
        <v>0.30307941653160447</v>
      </c>
    </row>
    <row r="478" spans="1:22" x14ac:dyDescent="0.35">
      <c r="A478" t="s">
        <v>1057</v>
      </c>
      <c r="B478" s="2">
        <v>46005</v>
      </c>
      <c r="C478" t="s">
        <v>366</v>
      </c>
      <c r="D478" t="s">
        <v>801</v>
      </c>
      <c r="E478" t="s">
        <v>61</v>
      </c>
      <c r="F478" t="s">
        <v>73</v>
      </c>
      <c r="G478" t="s">
        <v>73</v>
      </c>
      <c r="H478" t="s">
        <v>74</v>
      </c>
      <c r="I478" t="s">
        <v>75</v>
      </c>
      <c r="J478" t="s">
        <v>56</v>
      </c>
      <c r="K478">
        <v>1</v>
      </c>
      <c r="L478" s="3">
        <v>64000</v>
      </c>
      <c r="M478" s="3">
        <v>42600</v>
      </c>
      <c r="N478" s="3">
        <v>64000</v>
      </c>
      <c r="O478" s="4">
        <v>0.02</v>
      </c>
      <c r="P478" s="3">
        <v>1280</v>
      </c>
      <c r="Q478" s="3">
        <v>62720</v>
      </c>
      <c r="R478" s="3">
        <v>20120</v>
      </c>
      <c r="S478" t="s">
        <v>121</v>
      </c>
      <c r="T478" t="s">
        <v>48</v>
      </c>
      <c r="U478" t="s">
        <v>49</v>
      </c>
      <c r="V478" s="5">
        <v>0.32079081632653061</v>
      </c>
    </row>
    <row r="479" spans="1:22" x14ac:dyDescent="0.35">
      <c r="A479" t="s">
        <v>1058</v>
      </c>
      <c r="B479" s="2">
        <v>46006</v>
      </c>
      <c r="C479" t="s">
        <v>154</v>
      </c>
      <c r="D479" t="s">
        <v>1059</v>
      </c>
      <c r="E479" t="s">
        <v>61</v>
      </c>
      <c r="F479" t="s">
        <v>73</v>
      </c>
      <c r="G479" t="s">
        <v>73</v>
      </c>
      <c r="H479" t="s">
        <v>74</v>
      </c>
      <c r="I479" t="s">
        <v>45</v>
      </c>
      <c r="J479" t="s">
        <v>46</v>
      </c>
      <c r="K479">
        <v>5</v>
      </c>
      <c r="L479" s="3">
        <v>438600</v>
      </c>
      <c r="M479" s="3">
        <v>1711500</v>
      </c>
      <c r="N479" s="3">
        <v>2193000</v>
      </c>
      <c r="O479" s="4">
        <v>0.05</v>
      </c>
      <c r="P479" s="3">
        <v>109650</v>
      </c>
      <c r="Q479" s="3">
        <v>2083350</v>
      </c>
      <c r="R479" s="3">
        <v>371850</v>
      </c>
      <c r="S479" t="s">
        <v>67</v>
      </c>
      <c r="T479" t="s">
        <v>48</v>
      </c>
      <c r="U479" t="s">
        <v>49</v>
      </c>
      <c r="V479" s="5">
        <v>0.17848657210742311</v>
      </c>
    </row>
    <row r="480" spans="1:22" x14ac:dyDescent="0.35">
      <c r="A480" t="s">
        <v>1060</v>
      </c>
      <c r="B480" s="2">
        <v>46007</v>
      </c>
      <c r="C480" t="s">
        <v>929</v>
      </c>
      <c r="D480" t="s">
        <v>812</v>
      </c>
      <c r="E480" t="s">
        <v>41</v>
      </c>
      <c r="F480" t="s">
        <v>111</v>
      </c>
      <c r="G480" t="s">
        <v>112</v>
      </c>
      <c r="H480" t="s">
        <v>74</v>
      </c>
      <c r="I480" t="s">
        <v>45</v>
      </c>
      <c r="J480" t="s">
        <v>46</v>
      </c>
      <c r="K480">
        <v>4</v>
      </c>
      <c r="L480" s="3">
        <v>429300</v>
      </c>
      <c r="M480" s="3">
        <v>1366000</v>
      </c>
      <c r="N480" s="3">
        <v>1717200</v>
      </c>
      <c r="O480" s="4">
        <v>0.02</v>
      </c>
      <c r="P480" s="3">
        <v>34344</v>
      </c>
      <c r="Q480" s="3">
        <v>1682856</v>
      </c>
      <c r="R480" s="3">
        <v>316856</v>
      </c>
      <c r="S480" t="s">
        <v>67</v>
      </c>
      <c r="T480" t="s">
        <v>48</v>
      </c>
      <c r="U480" t="s">
        <v>49</v>
      </c>
      <c r="V480" s="5">
        <v>0.1882846779522431</v>
      </c>
    </row>
    <row r="481" spans="1:22" x14ac:dyDescent="0.35">
      <c r="A481" t="s">
        <v>1061</v>
      </c>
      <c r="B481" s="2">
        <v>46007</v>
      </c>
      <c r="C481" t="s">
        <v>115</v>
      </c>
      <c r="D481" t="s">
        <v>553</v>
      </c>
      <c r="E481" t="s">
        <v>61</v>
      </c>
      <c r="F481" t="s">
        <v>73</v>
      </c>
      <c r="G481" t="s">
        <v>73</v>
      </c>
      <c r="H481" t="s">
        <v>74</v>
      </c>
      <c r="I481" t="s">
        <v>120</v>
      </c>
      <c r="J481" t="s">
        <v>56</v>
      </c>
      <c r="K481">
        <v>7</v>
      </c>
      <c r="L481" s="3">
        <v>82100</v>
      </c>
      <c r="M481" s="3">
        <v>364700</v>
      </c>
      <c r="N481" s="3">
        <v>574700</v>
      </c>
      <c r="O481" s="4">
        <v>0.05</v>
      </c>
      <c r="P481" s="3">
        <v>28735</v>
      </c>
      <c r="Q481" s="3">
        <v>545965</v>
      </c>
      <c r="R481" s="3">
        <v>181265</v>
      </c>
      <c r="S481" t="s">
        <v>67</v>
      </c>
      <c r="T481" t="s">
        <v>48</v>
      </c>
      <c r="U481" t="s">
        <v>49</v>
      </c>
      <c r="V481" s="5">
        <v>0.33200846208090262</v>
      </c>
    </row>
    <row r="482" spans="1:22" x14ac:dyDescent="0.35">
      <c r="A482" t="s">
        <v>1062</v>
      </c>
      <c r="B482" s="2">
        <v>46008</v>
      </c>
      <c r="C482" t="s">
        <v>560</v>
      </c>
      <c r="D482" t="s">
        <v>502</v>
      </c>
      <c r="E482" t="s">
        <v>41</v>
      </c>
      <c r="F482" t="s">
        <v>42</v>
      </c>
      <c r="G482" t="s">
        <v>43</v>
      </c>
      <c r="H482" t="s">
        <v>44</v>
      </c>
      <c r="I482" t="s">
        <v>90</v>
      </c>
      <c r="J482" t="s">
        <v>91</v>
      </c>
      <c r="K482">
        <v>3</v>
      </c>
      <c r="L482" s="3">
        <v>182300</v>
      </c>
      <c r="M482" s="3">
        <v>364500</v>
      </c>
      <c r="N482" s="3">
        <v>546900</v>
      </c>
      <c r="O482" s="4">
        <v>0.05</v>
      </c>
      <c r="P482" s="3">
        <v>27345</v>
      </c>
      <c r="Q482" s="3">
        <v>519555</v>
      </c>
      <c r="R482" s="3">
        <v>155055</v>
      </c>
      <c r="S482" t="s">
        <v>57</v>
      </c>
      <c r="T482" t="s">
        <v>48</v>
      </c>
      <c r="U482" t="s">
        <v>49</v>
      </c>
      <c r="V482" s="5">
        <v>0.29843808643935682</v>
      </c>
    </row>
    <row r="483" spans="1:22" x14ac:dyDescent="0.35">
      <c r="A483" t="s">
        <v>1063</v>
      </c>
      <c r="B483" s="2">
        <v>46009</v>
      </c>
      <c r="C483" t="s">
        <v>423</v>
      </c>
      <c r="D483" t="s">
        <v>499</v>
      </c>
      <c r="E483" t="s">
        <v>61</v>
      </c>
      <c r="F483" t="s">
        <v>81</v>
      </c>
      <c r="G483" t="s">
        <v>82</v>
      </c>
      <c r="H483" t="s">
        <v>64</v>
      </c>
      <c r="I483" t="s">
        <v>65</v>
      </c>
      <c r="J483" t="s">
        <v>66</v>
      </c>
      <c r="K483">
        <v>3</v>
      </c>
      <c r="L483" s="3">
        <v>151900</v>
      </c>
      <c r="M483" s="3">
        <v>327300</v>
      </c>
      <c r="N483" s="3">
        <v>455700</v>
      </c>
      <c r="O483" s="4">
        <v>0</v>
      </c>
      <c r="P483" s="3">
        <v>0</v>
      </c>
      <c r="Q483" s="3">
        <v>455700</v>
      </c>
      <c r="R483" s="3">
        <v>128400</v>
      </c>
      <c r="S483" t="s">
        <v>67</v>
      </c>
      <c r="T483" t="s">
        <v>107</v>
      </c>
      <c r="U483" t="s">
        <v>49</v>
      </c>
      <c r="V483" s="5">
        <v>0.28176431863067808</v>
      </c>
    </row>
    <row r="484" spans="1:22" x14ac:dyDescent="0.35">
      <c r="A484" t="s">
        <v>1064</v>
      </c>
      <c r="B484" s="2">
        <v>46009</v>
      </c>
      <c r="C484" t="s">
        <v>394</v>
      </c>
      <c r="D484" t="s">
        <v>1026</v>
      </c>
      <c r="E484" t="s">
        <v>41</v>
      </c>
      <c r="F484" t="s">
        <v>195</v>
      </c>
      <c r="G484" t="s">
        <v>195</v>
      </c>
      <c r="H484" t="s">
        <v>196</v>
      </c>
      <c r="I484" t="s">
        <v>113</v>
      </c>
      <c r="J484" t="s">
        <v>66</v>
      </c>
      <c r="K484">
        <v>6</v>
      </c>
      <c r="L484" s="3">
        <v>198200</v>
      </c>
      <c r="M484" s="3">
        <v>897600</v>
      </c>
      <c r="N484" s="3">
        <v>1189200</v>
      </c>
      <c r="O484" s="4">
        <v>0.1</v>
      </c>
      <c r="P484" s="3">
        <v>118920</v>
      </c>
      <c r="Q484" s="3">
        <v>1070280</v>
      </c>
      <c r="R484" s="3">
        <v>172680</v>
      </c>
      <c r="S484" t="s">
        <v>121</v>
      </c>
      <c r="T484" t="s">
        <v>48</v>
      </c>
      <c r="U484" t="s">
        <v>49</v>
      </c>
      <c r="V484" s="5">
        <v>0.16134095750644689</v>
      </c>
    </row>
    <row r="485" spans="1:22" x14ac:dyDescent="0.35">
      <c r="A485" t="s">
        <v>1065</v>
      </c>
      <c r="B485" s="2">
        <v>46010</v>
      </c>
      <c r="C485" t="s">
        <v>619</v>
      </c>
      <c r="D485" t="s">
        <v>1042</v>
      </c>
      <c r="E485" t="s">
        <v>41</v>
      </c>
      <c r="F485" t="s">
        <v>62</v>
      </c>
      <c r="G485" t="s">
        <v>63</v>
      </c>
      <c r="H485" t="s">
        <v>64</v>
      </c>
      <c r="I485" t="s">
        <v>55</v>
      </c>
      <c r="J485" t="s">
        <v>56</v>
      </c>
      <c r="K485">
        <v>6</v>
      </c>
      <c r="L485" s="3">
        <v>33400</v>
      </c>
      <c r="M485" s="3">
        <v>124200</v>
      </c>
      <c r="N485" s="3">
        <v>200400</v>
      </c>
      <c r="O485" s="4">
        <v>0.05</v>
      </c>
      <c r="P485" s="3">
        <v>10020</v>
      </c>
      <c r="Q485" s="3">
        <v>190380</v>
      </c>
      <c r="R485" s="3">
        <v>66180</v>
      </c>
      <c r="S485" t="s">
        <v>47</v>
      </c>
      <c r="T485" t="s">
        <v>77</v>
      </c>
      <c r="U485" t="s">
        <v>68</v>
      </c>
      <c r="V485" s="5">
        <v>0.34762054837693029</v>
      </c>
    </row>
    <row r="486" spans="1:22" x14ac:dyDescent="0.35">
      <c r="A486" t="s">
        <v>1066</v>
      </c>
      <c r="B486" s="2">
        <v>46011</v>
      </c>
      <c r="C486" t="s">
        <v>781</v>
      </c>
      <c r="D486" t="s">
        <v>567</v>
      </c>
      <c r="E486" t="s">
        <v>61</v>
      </c>
      <c r="F486" t="s">
        <v>195</v>
      </c>
      <c r="G486" t="s">
        <v>195</v>
      </c>
      <c r="H486" t="s">
        <v>196</v>
      </c>
      <c r="I486" t="s">
        <v>75</v>
      </c>
      <c r="J486" t="s">
        <v>56</v>
      </c>
      <c r="K486">
        <v>2</v>
      </c>
      <c r="L486" s="3">
        <v>69100</v>
      </c>
      <c r="M486" s="3">
        <v>86200</v>
      </c>
      <c r="N486" s="3">
        <v>138200</v>
      </c>
      <c r="O486" s="4">
        <v>0.05</v>
      </c>
      <c r="P486" s="3">
        <v>6910</v>
      </c>
      <c r="Q486" s="3">
        <v>131290</v>
      </c>
      <c r="R486" s="3">
        <v>45090</v>
      </c>
      <c r="S486" t="s">
        <v>47</v>
      </c>
      <c r="T486" t="s">
        <v>107</v>
      </c>
      <c r="U486" t="s">
        <v>49</v>
      </c>
      <c r="V486" s="5">
        <v>0.34343819026582367</v>
      </c>
    </row>
    <row r="487" spans="1:22" x14ac:dyDescent="0.35">
      <c r="A487" t="s">
        <v>1067</v>
      </c>
      <c r="B487" s="2">
        <v>46012</v>
      </c>
      <c r="C487" t="s">
        <v>243</v>
      </c>
      <c r="D487" t="s">
        <v>797</v>
      </c>
      <c r="E487" t="s">
        <v>41</v>
      </c>
      <c r="F487" t="s">
        <v>81</v>
      </c>
      <c r="G487" t="s">
        <v>82</v>
      </c>
      <c r="H487" t="s">
        <v>64</v>
      </c>
      <c r="I487" t="s">
        <v>90</v>
      </c>
      <c r="J487" t="s">
        <v>91</v>
      </c>
      <c r="K487">
        <v>6</v>
      </c>
      <c r="L487" s="3">
        <v>181800</v>
      </c>
      <c r="M487" s="3">
        <v>734400</v>
      </c>
      <c r="N487" s="3">
        <v>1090800</v>
      </c>
      <c r="O487" s="4">
        <v>0.05</v>
      </c>
      <c r="P487" s="3">
        <v>54540</v>
      </c>
      <c r="Q487" s="3">
        <v>1036260</v>
      </c>
      <c r="R487" s="3">
        <v>301860</v>
      </c>
      <c r="S487" t="s">
        <v>76</v>
      </c>
      <c r="T487" t="s">
        <v>48</v>
      </c>
      <c r="U487" t="s">
        <v>49</v>
      </c>
      <c r="V487" s="5">
        <v>0.29129755080771241</v>
      </c>
    </row>
    <row r="488" spans="1:22" x14ac:dyDescent="0.35">
      <c r="A488" t="s">
        <v>1068</v>
      </c>
      <c r="B488" s="2">
        <v>46012</v>
      </c>
      <c r="C488" t="s">
        <v>148</v>
      </c>
      <c r="D488" t="s">
        <v>623</v>
      </c>
      <c r="E488" t="s">
        <v>41</v>
      </c>
      <c r="F488" t="s">
        <v>125</v>
      </c>
      <c r="G488" t="s">
        <v>126</v>
      </c>
      <c r="H488" t="s">
        <v>64</v>
      </c>
      <c r="I488" t="s">
        <v>90</v>
      </c>
      <c r="J488" t="s">
        <v>91</v>
      </c>
      <c r="K488">
        <v>6</v>
      </c>
      <c r="L488" s="3">
        <v>174500</v>
      </c>
      <c r="M488" s="3">
        <v>732000</v>
      </c>
      <c r="N488" s="3">
        <v>1047000</v>
      </c>
      <c r="O488" s="4">
        <v>0.08</v>
      </c>
      <c r="P488" s="3">
        <v>83760</v>
      </c>
      <c r="Q488" s="3">
        <v>963240</v>
      </c>
      <c r="R488" s="3">
        <v>231240</v>
      </c>
      <c r="S488" t="s">
        <v>67</v>
      </c>
      <c r="T488" t="s">
        <v>48</v>
      </c>
      <c r="U488" t="s">
        <v>49</v>
      </c>
      <c r="V488" s="5">
        <v>0.24006478136290019</v>
      </c>
    </row>
    <row r="489" spans="1:22" x14ac:dyDescent="0.35">
      <c r="A489" t="s">
        <v>1069</v>
      </c>
      <c r="B489" s="2">
        <v>46013</v>
      </c>
      <c r="C489" t="s">
        <v>1070</v>
      </c>
      <c r="D489" t="s">
        <v>514</v>
      </c>
      <c r="E489" t="s">
        <v>41</v>
      </c>
      <c r="F489" t="s">
        <v>73</v>
      </c>
      <c r="G489" t="s">
        <v>73</v>
      </c>
      <c r="H489" t="s">
        <v>74</v>
      </c>
      <c r="I489" t="s">
        <v>55</v>
      </c>
      <c r="J489" t="s">
        <v>56</v>
      </c>
      <c r="K489">
        <v>6</v>
      </c>
      <c r="L489" s="3">
        <v>33700</v>
      </c>
      <c r="M489" s="3">
        <v>123000</v>
      </c>
      <c r="N489" s="3">
        <v>202200</v>
      </c>
      <c r="O489" s="4">
        <v>0.05</v>
      </c>
      <c r="P489" s="3">
        <v>10110</v>
      </c>
      <c r="Q489" s="3">
        <v>192090</v>
      </c>
      <c r="R489" s="3">
        <v>69090</v>
      </c>
      <c r="S489" t="s">
        <v>76</v>
      </c>
      <c r="T489" t="s">
        <v>48</v>
      </c>
      <c r="U489" t="s">
        <v>49</v>
      </c>
      <c r="V489" s="5">
        <v>0.35967515227237229</v>
      </c>
    </row>
    <row r="490" spans="1:22" x14ac:dyDescent="0.35">
      <c r="A490" t="s">
        <v>1071</v>
      </c>
      <c r="B490" s="2">
        <v>46014</v>
      </c>
      <c r="C490" t="s">
        <v>359</v>
      </c>
      <c r="D490" t="s">
        <v>1072</v>
      </c>
      <c r="E490" t="s">
        <v>41</v>
      </c>
      <c r="F490" t="s">
        <v>53</v>
      </c>
      <c r="G490" t="s">
        <v>54</v>
      </c>
      <c r="H490" t="s">
        <v>44</v>
      </c>
      <c r="I490" t="s">
        <v>75</v>
      </c>
      <c r="J490" t="s">
        <v>56</v>
      </c>
      <c r="K490">
        <v>5</v>
      </c>
      <c r="L490" s="3">
        <v>60200</v>
      </c>
      <c r="M490" s="3">
        <v>208500</v>
      </c>
      <c r="N490" s="3">
        <v>301000</v>
      </c>
      <c r="O490" s="4">
        <v>0.1</v>
      </c>
      <c r="P490" s="3">
        <v>30100</v>
      </c>
      <c r="Q490" s="3">
        <v>270900</v>
      </c>
      <c r="R490" s="3">
        <v>62400</v>
      </c>
      <c r="S490" t="s">
        <v>47</v>
      </c>
      <c r="T490" t="s">
        <v>48</v>
      </c>
      <c r="U490" t="s">
        <v>49</v>
      </c>
      <c r="V490" s="5">
        <v>0.230343300110742</v>
      </c>
    </row>
    <row r="491" spans="1:22" x14ac:dyDescent="0.35">
      <c r="A491" t="s">
        <v>1073</v>
      </c>
      <c r="B491" s="2">
        <v>46015</v>
      </c>
      <c r="C491" t="s">
        <v>951</v>
      </c>
      <c r="D491" t="s">
        <v>1074</v>
      </c>
      <c r="E491" t="s">
        <v>41</v>
      </c>
      <c r="F491" t="s">
        <v>98</v>
      </c>
      <c r="G491" t="s">
        <v>98</v>
      </c>
      <c r="H491" t="s">
        <v>99</v>
      </c>
      <c r="I491" t="s">
        <v>55</v>
      </c>
      <c r="J491" t="s">
        <v>56</v>
      </c>
      <c r="K491">
        <v>1</v>
      </c>
      <c r="L491" s="3">
        <v>34300</v>
      </c>
      <c r="M491" s="3">
        <v>21400</v>
      </c>
      <c r="N491" s="3">
        <v>34300</v>
      </c>
      <c r="O491" s="4">
        <v>0.08</v>
      </c>
      <c r="P491" s="3">
        <v>2744</v>
      </c>
      <c r="Q491" s="3">
        <v>31556</v>
      </c>
      <c r="R491" s="3">
        <v>10156</v>
      </c>
      <c r="S491" t="s">
        <v>57</v>
      </c>
      <c r="T491" t="s">
        <v>48</v>
      </c>
      <c r="U491" t="s">
        <v>49</v>
      </c>
      <c r="V491" s="5">
        <v>0.32184053745721891</v>
      </c>
    </row>
    <row r="492" spans="1:22" x14ac:dyDescent="0.35">
      <c r="A492" t="s">
        <v>1075</v>
      </c>
      <c r="B492" s="2">
        <v>46015</v>
      </c>
      <c r="C492" t="s">
        <v>70</v>
      </c>
      <c r="D492" t="s">
        <v>1076</v>
      </c>
      <c r="E492" t="s">
        <v>61</v>
      </c>
      <c r="F492" t="s">
        <v>81</v>
      </c>
      <c r="G492" t="s">
        <v>82</v>
      </c>
      <c r="H492" t="s">
        <v>64</v>
      </c>
      <c r="I492" t="s">
        <v>55</v>
      </c>
      <c r="J492" t="s">
        <v>56</v>
      </c>
      <c r="K492">
        <v>3</v>
      </c>
      <c r="L492" s="3">
        <v>32600</v>
      </c>
      <c r="M492" s="3">
        <v>63900</v>
      </c>
      <c r="N492" s="3">
        <v>97800</v>
      </c>
      <c r="O492" s="4">
        <v>0.05</v>
      </c>
      <c r="P492" s="3">
        <v>4890</v>
      </c>
      <c r="Q492" s="3">
        <v>92910</v>
      </c>
      <c r="R492" s="3">
        <v>29010</v>
      </c>
      <c r="S492" t="s">
        <v>121</v>
      </c>
      <c r="T492" t="s">
        <v>48</v>
      </c>
      <c r="U492" t="s">
        <v>49</v>
      </c>
      <c r="V492" s="5">
        <v>0.31223764933806908</v>
      </c>
    </row>
    <row r="493" spans="1:22" x14ac:dyDescent="0.35">
      <c r="A493" t="s">
        <v>1077</v>
      </c>
      <c r="B493" s="2">
        <v>46016</v>
      </c>
      <c r="C493" t="s">
        <v>259</v>
      </c>
      <c r="D493" t="s">
        <v>192</v>
      </c>
      <c r="E493" t="s">
        <v>41</v>
      </c>
      <c r="F493" t="s">
        <v>111</v>
      </c>
      <c r="G493" t="s">
        <v>112</v>
      </c>
      <c r="H493" t="s">
        <v>74</v>
      </c>
      <c r="I493" t="s">
        <v>75</v>
      </c>
      <c r="J493" t="s">
        <v>56</v>
      </c>
      <c r="K493">
        <v>2</v>
      </c>
      <c r="L493" s="3">
        <v>60400</v>
      </c>
      <c r="M493" s="3">
        <v>83000</v>
      </c>
      <c r="N493" s="3">
        <v>120800</v>
      </c>
      <c r="O493" s="4">
        <v>0</v>
      </c>
      <c r="P493" s="3">
        <v>0</v>
      </c>
      <c r="Q493" s="3">
        <v>0</v>
      </c>
      <c r="R493" s="3">
        <v>0</v>
      </c>
      <c r="S493" t="s">
        <v>47</v>
      </c>
      <c r="T493" t="s">
        <v>48</v>
      </c>
      <c r="U493" t="s">
        <v>127</v>
      </c>
      <c r="V493" s="5">
        <v>0</v>
      </c>
    </row>
    <row r="494" spans="1:22" x14ac:dyDescent="0.35">
      <c r="A494" t="s">
        <v>1078</v>
      </c>
      <c r="B494" s="2">
        <v>46016</v>
      </c>
      <c r="C494" t="s">
        <v>1051</v>
      </c>
      <c r="D494" t="s">
        <v>839</v>
      </c>
      <c r="E494" t="s">
        <v>41</v>
      </c>
      <c r="F494" t="s">
        <v>81</v>
      </c>
      <c r="G494" t="s">
        <v>82</v>
      </c>
      <c r="H494" t="s">
        <v>64</v>
      </c>
      <c r="I494" t="s">
        <v>45</v>
      </c>
      <c r="J494" t="s">
        <v>46</v>
      </c>
      <c r="K494">
        <v>1</v>
      </c>
      <c r="L494" s="3">
        <v>389600</v>
      </c>
      <c r="M494" s="3">
        <v>347000</v>
      </c>
      <c r="N494" s="3">
        <v>389600</v>
      </c>
      <c r="O494" s="4">
        <v>0.05</v>
      </c>
      <c r="P494" s="3">
        <v>19480</v>
      </c>
      <c r="Q494" s="3">
        <v>370120</v>
      </c>
      <c r="R494" s="3">
        <v>23120</v>
      </c>
      <c r="S494" t="s">
        <v>121</v>
      </c>
      <c r="T494" t="s">
        <v>77</v>
      </c>
      <c r="U494" t="s">
        <v>49</v>
      </c>
      <c r="V494" s="5">
        <v>6.2466227169566617E-2</v>
      </c>
    </row>
    <row r="495" spans="1:22" x14ac:dyDescent="0.35">
      <c r="A495" t="s">
        <v>1079</v>
      </c>
      <c r="B495" s="2">
        <v>46017</v>
      </c>
      <c r="C495" t="s">
        <v>371</v>
      </c>
      <c r="D495" t="s">
        <v>935</v>
      </c>
      <c r="E495" t="s">
        <v>61</v>
      </c>
      <c r="F495" t="s">
        <v>111</v>
      </c>
      <c r="G495" t="s">
        <v>112</v>
      </c>
      <c r="H495" t="s">
        <v>74</v>
      </c>
      <c r="I495" t="s">
        <v>113</v>
      </c>
      <c r="J495" t="s">
        <v>66</v>
      </c>
      <c r="K495">
        <v>2</v>
      </c>
      <c r="L495" s="3">
        <v>193400</v>
      </c>
      <c r="M495" s="3">
        <v>289400</v>
      </c>
      <c r="N495" s="3">
        <v>386800</v>
      </c>
      <c r="O495" s="4">
        <v>0.08</v>
      </c>
      <c r="P495" s="3">
        <v>30944</v>
      </c>
      <c r="Q495" s="3">
        <v>355856</v>
      </c>
      <c r="R495" s="3">
        <v>66456</v>
      </c>
      <c r="S495" t="s">
        <v>47</v>
      </c>
      <c r="T495" t="s">
        <v>107</v>
      </c>
      <c r="U495" t="s">
        <v>49</v>
      </c>
      <c r="V495" s="5">
        <v>0.18674969650645201</v>
      </c>
    </row>
    <row r="496" spans="1:22" x14ac:dyDescent="0.35">
      <c r="A496" t="s">
        <v>1080</v>
      </c>
      <c r="B496" s="2">
        <v>46018</v>
      </c>
      <c r="C496" t="s">
        <v>39</v>
      </c>
      <c r="D496" t="s">
        <v>1081</v>
      </c>
      <c r="E496" t="s">
        <v>41</v>
      </c>
      <c r="F496" t="s">
        <v>168</v>
      </c>
      <c r="G496" t="s">
        <v>169</v>
      </c>
      <c r="H496" t="s">
        <v>74</v>
      </c>
      <c r="I496" t="s">
        <v>65</v>
      </c>
      <c r="J496" t="s">
        <v>66</v>
      </c>
      <c r="K496">
        <v>1</v>
      </c>
      <c r="L496" s="3">
        <v>162600</v>
      </c>
      <c r="M496" s="3">
        <v>116000</v>
      </c>
      <c r="N496" s="3">
        <v>162600</v>
      </c>
      <c r="O496" s="4">
        <v>0.05</v>
      </c>
      <c r="P496" s="3">
        <v>8130</v>
      </c>
      <c r="Q496" s="3">
        <v>154470</v>
      </c>
      <c r="R496" s="3">
        <v>38470</v>
      </c>
      <c r="S496" t="s">
        <v>67</v>
      </c>
      <c r="T496" t="s">
        <v>107</v>
      </c>
      <c r="U496" t="s">
        <v>49</v>
      </c>
      <c r="V496" s="5">
        <v>0.24904512203016771</v>
      </c>
    </row>
    <row r="497" spans="1:22" x14ac:dyDescent="0.35">
      <c r="A497" t="s">
        <v>1082</v>
      </c>
      <c r="B497" s="2">
        <v>46019</v>
      </c>
      <c r="C497" t="s">
        <v>1083</v>
      </c>
      <c r="D497" t="s">
        <v>1084</v>
      </c>
      <c r="E497" t="s">
        <v>61</v>
      </c>
      <c r="F497" t="s">
        <v>62</v>
      </c>
      <c r="G497" t="s">
        <v>63</v>
      </c>
      <c r="H497" t="s">
        <v>64</v>
      </c>
      <c r="I497" t="s">
        <v>120</v>
      </c>
      <c r="J497" t="s">
        <v>56</v>
      </c>
      <c r="K497">
        <v>2</v>
      </c>
      <c r="L497" s="3">
        <v>85700</v>
      </c>
      <c r="M497" s="3">
        <v>105200</v>
      </c>
      <c r="N497" s="3">
        <v>171400</v>
      </c>
      <c r="O497" s="4">
        <v>0.05</v>
      </c>
      <c r="P497" s="3">
        <v>8570</v>
      </c>
      <c r="Q497" s="3">
        <v>162830</v>
      </c>
      <c r="R497" s="3">
        <v>57630</v>
      </c>
      <c r="S497" t="s">
        <v>121</v>
      </c>
      <c r="T497" t="s">
        <v>48</v>
      </c>
      <c r="U497" t="s">
        <v>49</v>
      </c>
      <c r="V497" s="5">
        <v>0.35392740895412389</v>
      </c>
    </row>
    <row r="498" spans="1:22" x14ac:dyDescent="0.35">
      <c r="A498" t="s">
        <v>1085</v>
      </c>
      <c r="B498" s="2">
        <v>46020</v>
      </c>
      <c r="C498" t="s">
        <v>929</v>
      </c>
      <c r="D498" t="s">
        <v>431</v>
      </c>
      <c r="E498" t="s">
        <v>41</v>
      </c>
      <c r="F498" t="s">
        <v>62</v>
      </c>
      <c r="G498" t="s">
        <v>63</v>
      </c>
      <c r="H498" t="s">
        <v>64</v>
      </c>
      <c r="I498" t="s">
        <v>83</v>
      </c>
      <c r="J498" t="s">
        <v>56</v>
      </c>
      <c r="K498">
        <v>4</v>
      </c>
      <c r="L498" s="3">
        <v>42600</v>
      </c>
      <c r="M498" s="3">
        <v>113200</v>
      </c>
      <c r="N498" s="3">
        <v>170400</v>
      </c>
      <c r="O498" s="4">
        <v>0</v>
      </c>
      <c r="P498" s="3">
        <v>0</v>
      </c>
      <c r="Q498" s="3">
        <v>170400</v>
      </c>
      <c r="R498" s="3">
        <v>57200</v>
      </c>
      <c r="S498" t="s">
        <v>47</v>
      </c>
      <c r="T498" t="s">
        <v>48</v>
      </c>
      <c r="U498" t="s">
        <v>68</v>
      </c>
      <c r="V498" s="5">
        <v>0.33568075117370888</v>
      </c>
    </row>
    <row r="499" spans="1:22" x14ac:dyDescent="0.35">
      <c r="A499" t="s">
        <v>1086</v>
      </c>
      <c r="B499" s="2">
        <v>46021</v>
      </c>
      <c r="C499" t="s">
        <v>255</v>
      </c>
      <c r="D499" t="s">
        <v>1087</v>
      </c>
      <c r="E499" t="s">
        <v>61</v>
      </c>
      <c r="F499" t="s">
        <v>195</v>
      </c>
      <c r="G499" t="s">
        <v>195</v>
      </c>
      <c r="H499" t="s">
        <v>196</v>
      </c>
      <c r="I499" t="s">
        <v>103</v>
      </c>
      <c r="J499" t="s">
        <v>46</v>
      </c>
      <c r="K499">
        <v>4</v>
      </c>
      <c r="L499" s="3">
        <v>612100</v>
      </c>
      <c r="M499" s="3">
        <v>2122000</v>
      </c>
      <c r="N499" s="3">
        <v>2448400</v>
      </c>
      <c r="O499" s="4">
        <v>0.05</v>
      </c>
      <c r="P499" s="3">
        <v>0</v>
      </c>
      <c r="Q499" s="3">
        <v>0</v>
      </c>
      <c r="R499" s="3">
        <v>0</v>
      </c>
      <c r="S499" t="s">
        <v>76</v>
      </c>
      <c r="T499" t="s">
        <v>107</v>
      </c>
      <c r="U499" t="s">
        <v>127</v>
      </c>
      <c r="V499" s="5">
        <v>0</v>
      </c>
    </row>
    <row r="500" spans="1:22" x14ac:dyDescent="0.35">
      <c r="A500" t="s">
        <v>1088</v>
      </c>
      <c r="B500" s="2">
        <v>46022</v>
      </c>
      <c r="C500" t="s">
        <v>368</v>
      </c>
      <c r="D500" t="s">
        <v>362</v>
      </c>
      <c r="E500" t="s">
        <v>61</v>
      </c>
      <c r="F500" t="s">
        <v>53</v>
      </c>
      <c r="G500" t="s">
        <v>54</v>
      </c>
      <c r="H500" t="s">
        <v>44</v>
      </c>
      <c r="I500" t="s">
        <v>103</v>
      </c>
      <c r="J500" t="s">
        <v>46</v>
      </c>
      <c r="K500">
        <v>1</v>
      </c>
      <c r="L500" s="3">
        <v>656200</v>
      </c>
      <c r="M500" s="3">
        <v>504000</v>
      </c>
      <c r="N500" s="3">
        <v>656200</v>
      </c>
      <c r="O500" s="4">
        <v>0</v>
      </c>
      <c r="P500" s="3">
        <v>0</v>
      </c>
      <c r="Q500" s="3">
        <v>656200</v>
      </c>
      <c r="R500" s="3">
        <v>152200</v>
      </c>
      <c r="S500" t="s">
        <v>47</v>
      </c>
      <c r="T500" t="s">
        <v>48</v>
      </c>
      <c r="U500" t="s">
        <v>49</v>
      </c>
      <c r="V500" s="5">
        <v>0.2319414812557147</v>
      </c>
    </row>
    <row r="501" spans="1:22" x14ac:dyDescent="0.35">
      <c r="A501" t="s">
        <v>1089</v>
      </c>
      <c r="B501" s="2">
        <v>46022</v>
      </c>
      <c r="C501" t="s">
        <v>1090</v>
      </c>
      <c r="D501" t="s">
        <v>1091</v>
      </c>
      <c r="E501" t="s">
        <v>61</v>
      </c>
      <c r="F501" t="s">
        <v>53</v>
      </c>
      <c r="G501" t="s">
        <v>54</v>
      </c>
      <c r="H501" t="s">
        <v>44</v>
      </c>
      <c r="I501" t="s">
        <v>55</v>
      </c>
      <c r="J501" t="s">
        <v>56</v>
      </c>
      <c r="K501">
        <v>4</v>
      </c>
      <c r="L501" s="3">
        <v>37300</v>
      </c>
      <c r="M501" s="3">
        <v>86800</v>
      </c>
      <c r="N501" s="3">
        <v>149200</v>
      </c>
      <c r="O501" s="4">
        <v>0.05</v>
      </c>
      <c r="P501" s="3">
        <v>7460</v>
      </c>
      <c r="Q501" s="3">
        <v>141740</v>
      </c>
      <c r="R501" s="3">
        <v>54940</v>
      </c>
      <c r="S501" t="s">
        <v>67</v>
      </c>
      <c r="T501" t="s">
        <v>107</v>
      </c>
      <c r="U501" t="s">
        <v>49</v>
      </c>
      <c r="V501" s="5">
        <v>0.38761111895019051</v>
      </c>
    </row>
    <row r="502" spans="1:22" x14ac:dyDescent="0.35">
      <c r="Q502" s="3">
        <f>SUM(Q2:Q501)</f>
        <v>448326026</v>
      </c>
      <c r="R502" s="3">
        <f>SUM(R2:R501)</f>
        <v>102667126</v>
      </c>
      <c r="V502" s="6">
        <f>R502/Q502</f>
        <v>0.22900103952474979</v>
      </c>
    </row>
  </sheetData>
  <autoFilter ref="A1:V501" xr:uid="{00000000-0009-0000-0000-000001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08984375" bestFit="1" customWidth="1"/>
    <col min="2" max="2" width="31.7265625" bestFit="1" customWidth="1"/>
  </cols>
  <sheetData>
    <row r="1" spans="1:2" x14ac:dyDescent="0.35">
      <c r="A1" s="1" t="s">
        <v>1092</v>
      </c>
      <c r="B1" s="1" t="s">
        <v>1093</v>
      </c>
    </row>
    <row r="2" spans="1:2" x14ac:dyDescent="0.35">
      <c r="A2" t="s">
        <v>16</v>
      </c>
      <c r="B2" t="s">
        <v>1094</v>
      </c>
    </row>
    <row r="3" spans="1:2" x14ac:dyDescent="0.35">
      <c r="A3" t="s">
        <v>17</v>
      </c>
      <c r="B3" t="s">
        <v>1095</v>
      </c>
    </row>
    <row r="4" spans="1:2" x14ac:dyDescent="0.35">
      <c r="A4" t="s">
        <v>18</v>
      </c>
      <c r="B4" t="s">
        <v>1096</v>
      </c>
    </row>
    <row r="5" spans="1:2" x14ac:dyDescent="0.35">
      <c r="A5" t="s">
        <v>19</v>
      </c>
      <c r="B5" t="s">
        <v>1097</v>
      </c>
    </row>
    <row r="6" spans="1:2" x14ac:dyDescent="0.35">
      <c r="A6" t="s">
        <v>20</v>
      </c>
      <c r="B6" t="s">
        <v>1098</v>
      </c>
    </row>
    <row r="7" spans="1:2" x14ac:dyDescent="0.35">
      <c r="A7" t="s">
        <v>1099</v>
      </c>
      <c r="B7" t="s">
        <v>1100</v>
      </c>
    </row>
    <row r="8" spans="1:2" x14ac:dyDescent="0.35">
      <c r="A8" t="s">
        <v>1101</v>
      </c>
      <c r="B8" t="s">
        <v>1102</v>
      </c>
    </row>
    <row r="9" spans="1:2" x14ac:dyDescent="0.35">
      <c r="A9" t="s">
        <v>26</v>
      </c>
      <c r="B9" t="s">
        <v>1103</v>
      </c>
    </row>
    <row r="10" spans="1:2" x14ac:dyDescent="0.35">
      <c r="A10" t="s">
        <v>27</v>
      </c>
      <c r="B10" t="s">
        <v>1104</v>
      </c>
    </row>
    <row r="11" spans="1:2" x14ac:dyDescent="0.35">
      <c r="A11" t="s">
        <v>28</v>
      </c>
      <c r="B11" t="s">
        <v>1105</v>
      </c>
    </row>
    <row r="12" spans="1:2" x14ac:dyDescent="0.35">
      <c r="A12" t="s">
        <v>29</v>
      </c>
      <c r="B12" t="s">
        <v>1106</v>
      </c>
    </row>
    <row r="13" spans="1:2" x14ac:dyDescent="0.35">
      <c r="A13" t="s">
        <v>30</v>
      </c>
      <c r="B13" t="s">
        <v>1107</v>
      </c>
    </row>
    <row r="14" spans="1:2" x14ac:dyDescent="0.35">
      <c r="A14" t="s">
        <v>31</v>
      </c>
      <c r="B14" t="s">
        <v>1108</v>
      </c>
    </row>
    <row r="15" spans="1:2" x14ac:dyDescent="0.35">
      <c r="A15" t="s">
        <v>32</v>
      </c>
      <c r="B15" t="s">
        <v>1109</v>
      </c>
    </row>
    <row r="16" spans="1:2" x14ac:dyDescent="0.35">
      <c r="A16" t="s">
        <v>33</v>
      </c>
      <c r="B16" t="s">
        <v>1110</v>
      </c>
    </row>
    <row r="17" spans="1:2" x14ac:dyDescent="0.35">
      <c r="A17" t="s">
        <v>37</v>
      </c>
      <c r="B17" t="s">
        <v>1111</v>
      </c>
    </row>
    <row r="18" spans="1:2" x14ac:dyDescent="0.35">
      <c r="A18" t="s">
        <v>34</v>
      </c>
      <c r="B18" t="s">
        <v>1112</v>
      </c>
    </row>
    <row r="19" spans="1:2" x14ac:dyDescent="0.35">
      <c r="A19" t="s">
        <v>35</v>
      </c>
      <c r="B19" t="s">
        <v>1113</v>
      </c>
    </row>
    <row r="20" spans="1:2" x14ac:dyDescent="0.35">
      <c r="A20" t="s">
        <v>36</v>
      </c>
      <c r="B20" t="s">
        <v>1114</v>
      </c>
    </row>
  </sheetData>
  <autoFilter ref="A1:B2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Guide</vt:lpstr>
      <vt:lpstr>Sheet4</vt:lpstr>
      <vt:lpstr>Dashboard &amp; insights</vt:lpstr>
      <vt:lpstr>Sheet2</vt:lpstr>
      <vt:lpstr>Sheet3</vt:lpstr>
      <vt:lpstr>Sheet5</vt:lpstr>
      <vt:lpstr>Sheet6</vt:lpstr>
      <vt:lpstr>Sales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oloyede adenike</cp:lastModifiedBy>
  <dcterms:created xsi:type="dcterms:W3CDTF">2026-08-08T16:05:44Z</dcterms:created>
  <dcterms:modified xsi:type="dcterms:W3CDTF">2026-09-05T09:12:45Z</dcterms:modified>
</cp:coreProperties>
</file>